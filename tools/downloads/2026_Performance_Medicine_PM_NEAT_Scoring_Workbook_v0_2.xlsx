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Orientation" sheetId="2" state="visible" r:id="rId4"/>
    <sheet name="Ratings" sheetId="3" state="visible" r:id="rId5"/>
    <sheet name="Summary" sheetId="4" state="visible" r:id="rId6"/>
    <sheet name="Actions" sheetId="5" state="visible" r:id="rId7"/>
    <sheet name="OpSpec" sheetId="6" state="visible" r:id="rId8"/>
    <sheet name="Maturity" sheetId="7" state="visible" r:id="rId9"/>
    <sheet name="Scales" sheetId="8" state="visible" r:id="rId10"/>
    <sheet name="Lists" sheetId="9" state="hidden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<sst xmlns="http://schemas.openxmlformats.org/spreadsheetml/2006/main" count="460" uniqueCount="287">
  <si>
    <t xml:space="preserve">Performance Medicine Needs Evaluation and Assessment Tool (PM-NEAT): scoring workbook</t>
  </si>
  <si>
    <t xml:space="preserve">Pilot version 0.2: not yet validated  |  STRIKERS Elite Sports Group | University of St Andrews  |  CC BY-NC-ND 4.0</t>
  </si>
  <si>
    <t xml:space="preserve">How to use</t>
  </si>
  <si>
    <t xml:space="preserve">1. On the Orientation sheet, choose the form you are completing (1.1 Needs Evaluation, 1.2 Service Assessment or 1.3 Gap Analysis) and complete the fields.</t>
  </si>
  <si>
    <t xml:space="preserve">2. On the Ratings sheet, rate each domain in the yellow cells, choosing 0, 1, 2, 3 or N/A from the list: need for Forms 1.1 and 1.3, provision for Forms 1.2 and 1.3. The Scales sheet gives the descriptor for every level.</t>
  </si>
  <si>
    <t xml:space="preserve">3. The gap, band and every total are calculated. The sheets are protected, without a password, so that only the yellow cells can be changed. The Summary sheet gives each section's totals and, for Form 1.3, its unmet need, surplus and priority rating.</t>
  </si>
  <si>
    <t xml:space="preserve">4. Record priority actions, the narrative conclusion and sign-off on the Actions sheet. The OpSpec sheet carries the ratings into PM-OpSpec Section B and sub-component C3, for the service lead to complete.</t>
  </si>
  <si>
    <t xml:space="preserve">Legend</t>
  </si>
  <si>
    <t xml:space="preserve">Yellow cells are for the assessor to complete. White cells hold labels or formulas.</t>
  </si>
  <si>
    <t xml:space="preserve">Example of the expected entries: a domain rated need 3 and provision 1 has a gap of 2 and is red; one rated need 1 and provision 2 has a gap of minus 1, is green and adds 1 to the section's surplus; one rated N/A for both has no gap and is excluded from every total.</t>
  </si>
  <si>
    <t xml:space="preserve">Rules</t>
  </si>
  <si>
    <t xml:space="preserve">Gap: need minus provision, for domains rated on both. Bands: Red, gap of 2 or more (priority action); Amber, gap of 1 (development); Green, gap of 0 or less (met or exceeded).</t>
  </si>
  <si>
    <t xml:space="preserve">Not applicable: a domain rated not applicable has no gap and is excluded from every total; a domain not applicable for need is not applicable for provision, and the reverse.</t>
  </si>
  <si>
    <t xml:space="preserve">Per section: domains rated is the count of domains with every rating the form uses entered and none not applicable; not yet rated is the count of domains with a rating the form uses still blank; total need is the sum of need over the section's rated domains; total provision is the sum of provision over the section's rated domains; unmet need is the sum of positive gaps over the section's rated domains (Form 1.3); surplus is the sum of provision beyond need, as a positive number, over the section's rated domains (Form 1.3); priority rating: red if any domain is red; amber if any is amber and none red; otherwise green; no rating if no domain is rated (Form 1.3).</t>
  </si>
  <si>
    <t xml:space="preserve">The lists of domain codes on the OpSpec sheet need Excel 2019, Microsoft 365 or LibreOffice; earlier versions of Excel show the counts beside them correctly.</t>
  </si>
  <si>
    <t xml:space="preserve">Status and licence</t>
  </si>
  <si>
    <t xml:space="preserve">Pilot version 0.2: not yet validated. STRIKERS Elite Sports Group | University of St Andrews. Licence: Creative Commons Attribution-NonCommercial-NoDerivatives 4.0 International (CC BY-NC-ND 4.0), https://creativecommons.org/licenses/by-nc-nd/4.0/.</t>
  </si>
  <si>
    <t xml:space="preserve">Web version: https://andrewhallorthosports.github.io/performance-medicine/tools/</t>
  </si>
  <si>
    <t xml:space="preserve">Orientation</t>
  </si>
  <si>
    <t xml:space="preserve">Form completed</t>
  </si>
  <si>
    <t xml:space="preserve">1.3</t>
  </si>
  <si>
    <t xml:space="preserve">Organisation or service</t>
  </si>
  <si>
    <t xml:space="preserve">Setting</t>
  </si>
  <si>
    <t xml:space="preserve">Function, level, and sport or field</t>
  </si>
  <si>
    <t xml:space="preserve">Performers: who, numbers, level and roles</t>
  </si>
  <si>
    <t xml:space="preserve">Date or dates of assessment</t>
  </si>
  <si>
    <t xml:space="preserve">Lead assessor (name and role)</t>
  </si>
  <si>
    <t xml:space="preserve">Other assessors (names and roles)</t>
  </si>
  <si>
    <t xml:space="preserve">Purpose of, or trigger for, the assessment</t>
  </si>
  <si>
    <t xml:space="preserve">Previous assessment?</t>
  </si>
  <si>
    <t xml:space="preserve">Aims and objectives</t>
  </si>
  <si>
    <t xml:space="preserve">Key performance indicators</t>
  </si>
  <si>
    <t xml:space="preserve">Timeline: near, medium and longer term</t>
  </si>
  <si>
    <t xml:space="preserve">Existing performance medicine components</t>
  </si>
  <si>
    <t xml:space="preserve">Specific requests or constraints</t>
  </si>
  <si>
    <t xml:space="preserve">Choose 1.1, 1.2 or 1.3 in the first field; the Ratings and Summary sheets follow it.</t>
  </si>
  <si>
    <t xml:space="preserve">Ratings</t>
  </si>
  <si>
    <t xml:space="preserve">Section</t>
  </si>
  <si>
    <t xml:space="preserve">Section name</t>
  </si>
  <si>
    <t xml:space="preserve">Code</t>
  </si>
  <si>
    <t xml:space="preserve">Domain</t>
  </si>
  <si>
    <t xml:space="preserve">Description (version 0.2)</t>
  </si>
  <si>
    <t xml:space="preserve">Need</t>
  </si>
  <si>
    <t xml:space="preserve">Provision</t>
  </si>
  <si>
    <t xml:space="preserve">Gap</t>
  </si>
  <si>
    <t xml:space="preserve">Band</t>
  </si>
  <si>
    <t xml:space="preserve">Check</t>
  </si>
  <si>
    <t xml:space="preserve">Notes</t>
  </si>
  <si>
    <t xml:space="preserve">Rated</t>
  </si>
  <si>
    <t xml:space="preserve">1</t>
  </si>
  <si>
    <t xml:space="preserve">Medical</t>
  </si>
  <si>
    <t xml:space="preserve">1.1</t>
  </si>
  <si>
    <t xml:space="preserve">Sport and Exercise Medicine</t>
  </si>
  <si>
    <t xml:space="preserve">Medical care of performers: diagnosis and medical management of injury and illness, medical screening, prescribing and oversight of health across training, competition, operations or work; emergency care is scored under 1.3 and rehabilitation under 3.1.</t>
  </si>
  <si>
    <t xml:space="preserve">1.2</t>
  </si>
  <si>
    <t xml:space="preserve">Lifestyle and Preventive Medicine</t>
  </si>
  <si>
    <t xml:space="preserve">Health promotion and the prevention of chronic disease: assessment of and intervention on physical activity, diet, sleep, stress, substance use and social connection, and screening for long-term risk; specialist nutrition and sleep provision for performance are scored under 3.2 and 3.6.</t>
  </si>
  <si>
    <t xml:space="preserve">Emergency and Acute Care</t>
  </si>
  <si>
    <t xml:space="preserve">Emergency action planning and the immediate care of acute injury and illness wherever performers train, compete, deploy or work, with the staff training, equipment and drills that it requires.</t>
  </si>
  <si>
    <t xml:space="preserve">1.4</t>
  </si>
  <si>
    <t xml:space="preserve">Specialist Liaison and Referral</t>
  </si>
  <si>
    <t xml:space="preserve">Access to care beyond the service: referral pathways to external specialists and to secondary and tertiary services, and the coordination of performers' care across them.</t>
  </si>
  <si>
    <t xml:space="preserve">2</t>
  </si>
  <si>
    <t xml:space="preserve">Psychological</t>
  </si>
  <si>
    <t xml:space="preserve">2.1</t>
  </si>
  <si>
    <t xml:space="preserve">Performance Psychology</t>
  </si>
  <si>
    <t xml:space="preserve">Performance psychology: mental skills, psychological readiness and preparation for performance under pressure, for individuals and teams.</t>
  </si>
  <si>
    <t xml:space="preserve">2.2</t>
  </si>
  <si>
    <t xml:space="preserve">Clinical Psychology and Mental Health</t>
  </si>
  <si>
    <t xml:space="preserve">Mental health care: screening, assessment, treatment and onward referral for mental health conditions in performers; the response to acute crises is scored under 2.6.</t>
  </si>
  <si>
    <t xml:space="preserve">2.3</t>
  </si>
  <si>
    <t xml:space="preserve">Psychological Load Management</t>
  </si>
  <si>
    <t xml:space="preserve">Psychological load: monitoring and management of stress, fatigue and burnout, and of psychological recovery; physical load is scored under 3.6.</t>
  </si>
  <si>
    <t xml:space="preserve">2.4</t>
  </si>
  <si>
    <t xml:space="preserve">Psychosocial Environment</t>
  </si>
  <si>
    <t xml:space="preserve">The psychosocial environment: team culture, psychological safety, relationships, leadership climate and the social conditions in which performers live and work.</t>
  </si>
  <si>
    <t xml:space="preserve">2.5</t>
  </si>
  <si>
    <t xml:space="preserve">Cognitive Performance</t>
  </si>
  <si>
    <t xml:space="preserve">Cognitive performance: attention, perception, decision-making under pressure, cognitive load and brain health.</t>
  </si>
  <si>
    <t xml:space="preserve">2.6</t>
  </si>
  <si>
    <t xml:space="preserve">Welfare, Crisis and Safeguarding</t>
  </si>
  <si>
    <t xml:space="preserve">Welfare support for performers and the immediate response to psychological crises, critical incidents and safeguarding concerns as they arise, with onward referral; the organisation's safeguarding framework is scored under 5.4.</t>
  </si>
  <si>
    <t xml:space="preserve">3</t>
  </si>
  <si>
    <t xml:space="preserve">Allied Health and Scientific</t>
  </si>
  <si>
    <t xml:space="preserve">3.1</t>
  </si>
  <si>
    <t xml:space="preserve">Physiotherapy and Rehabilitation</t>
  </si>
  <si>
    <t xml:space="preserve">Musculoskeletal assessment, treatment and progressive rehabilitation to agreed criteria; the decision to return to full performance is scored under 5.2.</t>
  </si>
  <si>
    <t xml:space="preserve">3.2</t>
  </si>
  <si>
    <t xml:space="preserve">Nutrition and Dietetics</t>
  </si>
  <si>
    <t xml:space="preserve">Nutritional assessment, fuelling and hydration strategies, body composition, supplement use and the dietetic management of clinical conditions.</t>
  </si>
  <si>
    <t xml:space="preserve">3.3</t>
  </si>
  <si>
    <t xml:space="preserve">Strength, Conditioning and Exercise Science</t>
  </si>
  <si>
    <t xml:space="preserve">Physical preparation: the design, prescription and delivery of strength, conditioning and exercise programmes, including the planning of training load; monitoring of the load received is scored under 3.6.</t>
  </si>
  <si>
    <t xml:space="preserve">3.4</t>
  </si>
  <si>
    <t xml:space="preserve">Sport and Exercise Physiology</t>
  </si>
  <si>
    <t xml:space="preserve">Physiological assessment and support: aerobic and anaerobic capacity, metabolic and environmental physiology (heat, cold and altitude), and the interpretation of results for training and health; the testing programme as a whole is scored under 4.2.</t>
  </si>
  <si>
    <t xml:space="preserve">3.5</t>
  </si>
  <si>
    <t xml:space="preserve">Biomechanics and Movement Science</t>
  </si>
  <si>
    <t xml:space="preserve">Movement and technique analysis, the physical demands of the task and the biomechanics of injury and its prevention.</t>
  </si>
  <si>
    <t xml:space="preserve">3.6</t>
  </si>
  <si>
    <t xml:space="preserve">Sleep, Recovery and Load Monitoring</t>
  </si>
  <si>
    <t xml:space="preserve">Sleep, recovery practice and the monitoring of the training, operational or occupational load that performers receive and of their response to it; the prescription of load is scored under 3.3 and psychological load under 2.3.</t>
  </si>
  <si>
    <t xml:space="preserve">4</t>
  </si>
  <si>
    <t xml:space="preserve">Technical</t>
  </si>
  <si>
    <t xml:space="preserve">4.1</t>
  </si>
  <si>
    <t xml:space="preserve">Data Systems and Performance Analytics</t>
  </si>
  <si>
    <t xml:space="preserve">Data infrastructure and analytics: the platforms, integration, analysis and reporting that turn health and performance data into information for decisions; information governance is scored under 5.3.</t>
  </si>
  <si>
    <t xml:space="preserve">4.2</t>
  </si>
  <si>
    <t xml:space="preserve">Performance Testing and Assessment</t>
  </si>
  <si>
    <t xml:space="preserve">The testing programme across disciplines: selection and scheduling of standardised tests, their reliability and quality control, and benchmarking; the interpretation of results within each discipline is scored in that discipline's domain.</t>
  </si>
  <si>
    <t xml:space="preserve">4.3</t>
  </si>
  <si>
    <t xml:space="preserve">Technology and Digital Integration</t>
  </si>
  <si>
    <t xml:space="preserve">Wearable, positional, biometric and digital health technologies: their selection, evaluation, deployment and integration into practice; the platforms that store and report their data are scored under 4.1.</t>
  </si>
  <si>
    <t xml:space="preserve">4.4</t>
  </si>
  <si>
    <t xml:space="preserve">Research and Performance Science</t>
  </si>
  <si>
    <t xml:space="preserve">In-house research and performance science capability: the people, skills and time to generate local evidence through applied studies, innovation projects and the evaluation of new methods; external research partnerships are scored under 7.2.</t>
  </si>
  <si>
    <t xml:space="preserve">4.5</t>
  </si>
  <si>
    <t xml:space="preserve">Environment, Facility and Equipment Management</t>
  </si>
  <si>
    <t xml:space="preserve">Facilities and equipment: training, operational and clinical spaces, and the provision, maintenance and safety of equipment; emergency equipment is scored under 1.3.</t>
  </si>
  <si>
    <t xml:space="preserve">4.6</t>
  </si>
  <si>
    <t xml:space="preserve">Operational Logistics and Coordination</t>
  </si>
  <si>
    <t xml:space="preserve">Operational logistics: travel, scheduling, deployments and multi-site operations, and the movement of staff, equipment and medicines between sites.</t>
  </si>
  <si>
    <t xml:space="preserve">5</t>
  </si>
  <si>
    <t xml:space="preserve">Clinical Practice</t>
  </si>
  <si>
    <t xml:space="preserve">5.1</t>
  </si>
  <si>
    <t xml:space="preserve">Governance and Clinical Accountability</t>
  </si>
  <si>
    <t xml:space="preserve">Clinical governance: lines of clinical accountability, professional registration and scope of practice, policies, risk and incident management, and regulatory compliance; the governance and management of the wider organisation sit in the framework's outer boundary.</t>
  </si>
  <si>
    <t xml:space="preserve">5.2</t>
  </si>
  <si>
    <t xml:space="preserve">Clinical Decision-Making and Pathways</t>
  </si>
  <si>
    <t xml:space="preserve">Clinical decision-making: shared decision-making with performers, inter-professional case review, care pathways across disciplines and decisions on return to full performance.</t>
  </si>
  <si>
    <t xml:space="preserve">5.3</t>
  </si>
  <si>
    <t xml:space="preserve">Documentation, Records and Information Governance</t>
  </si>
  <si>
    <t xml:space="preserve">Records and information governance: clinical record systems, confidentiality, data protection compliance and the protocols for sharing information across disciplines and organisations.</t>
  </si>
  <si>
    <t xml:space="preserve">5.4</t>
  </si>
  <si>
    <t xml:space="preserve">Safeguarding and Duty of Care</t>
  </si>
  <si>
    <t xml:space="preserve">The safeguarding framework: child and adult protection policies, designated safeguarding leads, consent procedures, reporting and escalation routes, and the duty of care owed to performers and staff; the response to individual concerns is scored under 2.6.</t>
  </si>
  <si>
    <t xml:space="preserve">6</t>
  </si>
  <si>
    <t xml:space="preserve">Education and Development</t>
  </si>
  <si>
    <t xml:space="preserve">6.1</t>
  </si>
  <si>
    <t xml:space="preserve">Staff CPD and Professional Development</t>
  </si>
  <si>
    <t xml:space="preserve">Continuing professional development of current staff: training plans, protected learning time and competency frameworks within each discipline and for working across disciplines.</t>
  </si>
  <si>
    <t xml:space="preserve">6.2</t>
  </si>
  <si>
    <t xml:space="preserve">Mentorship, Supervision and Workforce Development</t>
  </si>
  <si>
    <t xml:space="preserve">Clinical and professional supervision and mentoring of current staff, and the development of individuals within their roles through them; the recruitment and training of future practitioners is scored under 6.4.</t>
  </si>
  <si>
    <t xml:space="preserve">6.3</t>
  </si>
  <si>
    <t xml:space="preserve">Education for Performers and Teams</t>
  </si>
  <si>
    <t xml:space="preserve">Education of performers and of the coaches, commanders and managers around them: health literacy, performance education and support for informed self-management.</t>
  </si>
  <si>
    <t xml:space="preserve">6.4</t>
  </si>
  <si>
    <t xml:space="preserve">Workforce Pipeline and Training Capacity</t>
  </si>
  <si>
    <t xml:space="preserve">The pipeline of future practitioners: placements, internships and training posts, the capacity to host and teach them, and succession planning for key roles.</t>
  </si>
  <si>
    <t xml:space="preserve">7</t>
  </si>
  <si>
    <t xml:space="preserve">Research and Knowledge Translation</t>
  </si>
  <si>
    <t xml:space="preserve">7.1</t>
  </si>
  <si>
    <t xml:space="preserve">Service Audit and Quality Improvement</t>
  </si>
  <si>
    <t xml:space="preserve">Clinical audit and quality improvement: audit against agreed standards, monitoring of outcomes and structured improvement of the service.</t>
  </si>
  <si>
    <t xml:space="preserve">7.2</t>
  </si>
  <si>
    <t xml:space="preserve">Research Engagement</t>
  </si>
  <si>
    <t xml:space="preserve">Engagement with the wider research community: participation in external studies, academic partnerships, research ethics and governance, and the use of the service's data for research; in-house research capability is scored under 4.4.</t>
  </si>
  <si>
    <t xml:space="preserve">7.3</t>
  </si>
  <si>
    <t xml:space="preserve">Evidence-Informed Practice</t>
  </si>
  <si>
    <t xml:space="preserve">The processes by which current best evidence is found, appraised and built into protocols and individual decisions.</t>
  </si>
  <si>
    <t xml:space="preserve">7.4</t>
  </si>
  <si>
    <t xml:space="preserve">Knowledge Dissemination and Translation</t>
  </si>
  <si>
    <t xml:space="preserve">Sharing knowledge beyond the service: publication, conference presentation, external teaching and the translation of the service's learning into practice elsewhere.</t>
  </si>
  <si>
    <t xml:space="preserve">Synthesis and summary</t>
  </si>
  <si>
    <t xml:space="preserve">Domains rated</t>
  </si>
  <si>
    <t xml:space="preserve">Not yet rated</t>
  </si>
  <si>
    <t xml:space="preserve">Total need</t>
  </si>
  <si>
    <t xml:space="preserve">Total provision</t>
  </si>
  <si>
    <t xml:space="preserve">Unmet need</t>
  </si>
  <si>
    <t xml:space="preserve">Surplus</t>
  </si>
  <si>
    <t xml:space="preserve">Priority rating</t>
  </si>
  <si>
    <t xml:space="preserve">Key observations</t>
  </si>
  <si>
    <t xml:space="preserve">All sections</t>
  </si>
  <si>
    <t xml:space="preserve">Unmet need, surplus and the priority rating need both ratings, so they apply to Form 1.3; Form 1.1 reports total need and Form 1.2 total provision.</t>
  </si>
  <si>
    <t xml:space="preserve">A domain counts as rated once every rating the form uses is entered; domains rated N/A are excluded from every count and total.</t>
  </si>
  <si>
    <t xml:space="preserve">Surplus is reported as a positive number and never offsets unmet need. The priority rating is that of the section's worst domain.</t>
  </si>
  <si>
    <t xml:space="preserve">The All sections row sums the section rows; its rating is the worst section rating.</t>
  </si>
  <si>
    <t xml:space="preserve">Priority actions, conclusion and sign-off</t>
  </si>
  <si>
    <t xml:space="preserve">No.</t>
  </si>
  <si>
    <t xml:space="preserve">Action required</t>
  </si>
  <si>
    <t xml:space="preserve">Lead</t>
  </si>
  <si>
    <t xml:space="preserve">Timeline</t>
  </si>
  <si>
    <t xml:space="preserve">Narrative conclusion and recommendations</t>
  </si>
  <si>
    <t xml:space="preserve">Sign-off</t>
  </si>
  <si>
    <t xml:space="preserve">Lead assessor name</t>
  </si>
  <si>
    <t xml:space="preserve">Signature</t>
  </si>
  <si>
    <t xml:space="preserve">Date</t>
  </si>
  <si>
    <t xml:space="preserve">Performance Medicine Operational Specification (PM-OpSpec): Section B and sub-component C3, pre-filled from the ratings</t>
  </si>
  <si>
    <t xml:space="preserve">Description of provision in this service</t>
  </si>
  <si>
    <t xml:space="preserve">In scope?</t>
  </si>
  <si>
    <t xml:space="preserve">PM-NEAT need</t>
  </si>
  <si>
    <t xml:space="preserve">PM-NEAT provision</t>
  </si>
  <si>
    <t xml:space="preserve">Notes and local adaptation</t>
  </si>
  <si>
    <t xml:space="preserve">C3 Domain coverage (from Form 1.3 ratings)</t>
  </si>
  <si>
    <t xml:space="preserve">Field</t>
  </si>
  <si>
    <t xml:space="preserve">Domains (codes)</t>
  </si>
  <si>
    <t xml:space="preserve">Number</t>
  </si>
  <si>
    <t xml:space="preserve">Domains with full provision (green, with provision of 1 or more)</t>
  </si>
  <si>
    <t xml:space="preserve">Domains with partial or developing provision (amber or red, provision 1 or more)</t>
  </si>
  <si>
    <t xml:space="preserve">Domains with no provision (provision 0, need 1 or more)</t>
  </si>
  <si>
    <t xml:space="preserve">Domains not currently in scope (not applicable)</t>
  </si>
  <si>
    <t xml:space="preserve">Maturity levels (Section C)</t>
  </si>
  <si>
    <t xml:space="preserve">Sub-component</t>
  </si>
  <si>
    <t xml:space="preserve">Descriptor of the level chosen</t>
  </si>
  <si>
    <t xml:space="preserve">Level</t>
  </si>
  <si>
    <t xml:space="preserve">C1 Purpose and scope</t>
  </si>
  <si>
    <t xml:space="preserve">C2 Population and user group</t>
  </si>
  <si>
    <t xml:space="preserve">C3 Domain coverage</t>
  </si>
  <si>
    <t xml:space="preserve">C4 Team structure</t>
  </si>
  <si>
    <t xml:space="preserve">C5 Governance and accountability</t>
  </si>
  <si>
    <t xml:space="preserve">C6 Information systems</t>
  </si>
  <si>
    <t xml:space="preserve">C7 Decision-making pathways</t>
  </si>
  <si>
    <t xml:space="preserve">C8 Evaluation expectations</t>
  </si>
  <si>
    <t xml:space="preserve">C9 Required resources and enabling conditions</t>
  </si>
  <si>
    <t xml:space="preserve">PM-OpSpec maturity descriptors</t>
  </si>
  <si>
    <t xml:space="preserve">Not in place</t>
  </si>
  <si>
    <t xml:space="preserve">Foundation</t>
  </si>
  <si>
    <t xml:space="preserve">Established</t>
  </si>
  <si>
    <t xml:space="preserve">Advanced</t>
  </si>
  <si>
    <t xml:space="preserve">No purpose or scope has been agreed for the service</t>
  </si>
  <si>
    <t xml:space="preserve">Informally understood; not documented</t>
  </si>
  <si>
    <t xml:space="preserve">Documented purpose; clear scope boundaries; known to key staff</t>
  </si>
  <si>
    <t xml:space="preserve">Embedded in strategy; regularly reviewed; communicated across organisation</t>
  </si>
  <si>
    <t xml:space="preserve">The performers the service is for have not been identified</t>
  </si>
  <si>
    <t xml:space="preserve">Informally known; not formally defined</t>
  </si>
  <si>
    <t xml:space="preserve">Defined population; roles documented; needs assessment completed</t>
  </si>
  <si>
    <t xml:space="preserve">Dynamic population profiling; stratified needs; reviewed annually</t>
  </si>
  <si>
    <t xml:space="preserve">No domain is provided for in a planned way</t>
  </si>
  <si>
    <t xml:space="preserve">Ad hoc provision; significant gaps</t>
  </si>
  <si>
    <t xml:space="preserve">Core domains covered; gaps identified and planned for</t>
  </si>
  <si>
    <t xml:space="preserve">Comprehensive coverage; all in-scope PMIF domains addressed; gaps monitored</t>
  </si>
  <si>
    <t xml:space="preserve">No staff hold a Performance Medicine role</t>
  </si>
  <si>
    <t xml:space="preserve">Single or informal; no defined structure</t>
  </si>
  <si>
    <t xml:space="preserve">Defined roles; reporting lines established; MDT meetings in place</t>
  </si>
  <si>
    <t xml:space="preserve">Full interdisciplinary team; formalised governance; succession planning</t>
  </si>
  <si>
    <t xml:space="preserve">No one is accountable for the clinical care provided</t>
  </si>
  <si>
    <t xml:space="preserve">No formal governance; ad hoc accountability</t>
  </si>
  <si>
    <t xml:space="preserve">Clinical lead identified; basic governance in place; policies documented</t>
  </si>
  <si>
    <t xml:space="preserve">Full governance framework; external audit; regular review against professional standards</t>
  </si>
  <si>
    <t xml:space="preserve">No records of performers' health or performance are kept</t>
  </si>
  <si>
    <t xml:space="preserve">Paper-based or informal; no integration</t>
  </si>
  <si>
    <t xml:space="preserve">Electronic records in use; basic data sharing; information governance documented</t>
  </si>
  <si>
    <t xml:space="preserve">Integrated data ecosystem; real-time dashboards; information governance audited</t>
  </si>
  <si>
    <t xml:space="preserve">No pathway exists, and decisions rest with whoever is present</t>
  </si>
  <si>
    <t xml:space="preserve">Informal; case-by-case; not documented</t>
  </si>
  <si>
    <t xml:space="preserve">Key pathways documented; MDT decision-making; referral pathways clear</t>
  </si>
  <si>
    <t xml:space="preserve">All pathways formalised; shared decision-making embedded; regular review</t>
  </si>
  <si>
    <t xml:space="preserve">No one is responsible for evaluating the service</t>
  </si>
  <si>
    <t xml:space="preserve">No formal evaluation; outcomes not tracked</t>
  </si>
  <si>
    <t xml:space="preserve">KPIs defined; annual audit; basic outcome reporting</t>
  </si>
  <si>
    <t xml:space="preserve">Continuous evaluation; external benchmarking; published outcomes</t>
  </si>
  <si>
    <t xml:space="preserve">No resources are allocated to the service</t>
  </si>
  <si>
    <t xml:space="preserve">Under-resourced; significant gaps; ad hoc</t>
  </si>
  <si>
    <t xml:space="preserve">Core resources in place; budget allocated; enabling conditions identified</t>
  </si>
  <si>
    <t xml:space="preserve">Fully resourced; strategic investment; enabling conditions optimised</t>
  </si>
  <si>
    <t xml:space="preserve">Statutory, regulatory and professional requirements, including data protection, professional registration and safeguarding, apply at every level; the levels describe maturity beyond compliance with them.</t>
  </si>
  <si>
    <t xml:space="preserve">Rating guide</t>
  </si>
  <si>
    <t xml:space="preserve">Rating</t>
  </si>
  <si>
    <t xml:space="preserve">Label</t>
  </si>
  <si>
    <t xml:space="preserve">Descriptor</t>
  </si>
  <si>
    <t xml:space="preserve">N/A</t>
  </si>
  <si>
    <t xml:space="preserve">Not applicable</t>
  </si>
  <si>
    <t xml:space="preserve">The domain does not apply to this setting; it is excluded from every total.</t>
  </si>
  <si>
    <t xml:space="preserve">No current need</t>
  </si>
  <si>
    <t xml:space="preserve">The domain applies to this setting, but no provision is required at present.</t>
  </si>
  <si>
    <t xml:space="preserve">Low need</t>
  </si>
  <si>
    <t xml:space="preserve">An occasional or minor requirement that general staff can meet.</t>
  </si>
  <si>
    <t xml:space="preserve">Moderate need</t>
  </si>
  <si>
    <t xml:space="preserve">A regular requirement that calls for planned provision.</t>
  </si>
  <si>
    <t xml:space="preserve">High need</t>
  </si>
  <si>
    <t xml:space="preserve">A frequent, critical or high-risk requirement that calls for dedicated specialist provision.</t>
  </si>
  <si>
    <t xml:space="preserve">None</t>
  </si>
  <si>
    <t xml:space="preserve">No provision.</t>
  </si>
  <si>
    <t xml:space="preserve">Limited or ad hoc</t>
  </si>
  <si>
    <t xml:space="preserve">Occasional or informal provision, met by general staff or dependent on particular individuals.</t>
  </si>
  <si>
    <t xml:space="preserve">Planned or developing</t>
  </si>
  <si>
    <t xml:space="preserve">Planned, regular provision without dedicated specialist input, or specialist provision that is not yet delivered consistently.</t>
  </si>
  <si>
    <t xml:space="preserve">Dedicated specialist provision that is planned, consistent and documented, with named responsibility.</t>
  </si>
  <si>
    <t xml:space="preserve">Sport</t>
  </si>
  <si>
    <t xml:space="preserve">Yes</t>
  </si>
  <si>
    <t xml:space="preserve">Military and tactical</t>
  </si>
  <si>
    <t xml:space="preserve">No</t>
  </si>
  <si>
    <t xml:space="preserve">Healthcare</t>
  </si>
  <si>
    <t xml:space="preserve">Unknown</t>
  </si>
  <si>
    <t xml:space="preserve">Corporate and occupational</t>
  </si>
  <si>
    <t xml:space="preserve">Other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</si>
</sst>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Times New Roman"/>
      <family val="0"/>
      <charset val="1"/>
    </font>
    <font>
      <i val="true"/>
      <sz val="10"/>
      <name val="Times New Roman"/>
      <family val="0"/>
      <charset val="1"/>
    </font>
    <font>
      <b val="true"/>
      <sz val="10"/>
      <name val="Times New Roman"/>
      <family val="0"/>
      <charset val="1"/>
    </font>
    <font>
      <sz val="1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0" fillId="2" borderId="1" xfId="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B6B6"/>
        </patternFill>
      </fill>
    </dxf>
    <dxf>
      <fill>
        <patternFill>
          <bgColor rgb="FFFBD9A6"/>
        </patternFill>
      </fill>
    </dxf>
    <dxf>
      <fill>
        <patternFill>
          <bgColor rgb="FFC9E7C3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9E7C3"/>
      <rgbColor rgb="FFFFFF99"/>
      <rgbColor rgb="FF99CCFF"/>
      <rgbColor rgb="FFF4B6B6"/>
      <rgbColor rgb="FFCC99FF"/>
      <rgbColor rgb="FFFBD9A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23.85" hidden="false" customHeight="false" outlineLevel="0" collapsed="false">
      <c r="A6" s="4" t="s">
        <v>4</v>
      </c>
    </row>
    <row r="7" customFormat="false" ht="23.85" hidden="false" customHeight="false" outlineLevel="0" collapsed="false">
      <c r="A7" s="4" t="s">
        <v>5</v>
      </c>
    </row>
    <row r="8" customFormat="false" ht="23.85" hidden="false" customHeight="false" outlineLevel="0" collapsed="false">
      <c r="A8" s="4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4" t="s">
        <v>8</v>
      </c>
    </row>
    <row r="11" customFormat="false" ht="23.8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3" t="s">
        <v>10</v>
      </c>
    </row>
    <row r="13" customFormat="false" ht="23.85" hidden="false" customHeight="false" outlineLevel="0" collapsed="false">
      <c r="A13" s="4" t="s">
        <v>11</v>
      </c>
    </row>
    <row r="14" customFormat="false" ht="23.85" hidden="false" customHeight="false" outlineLevel="0" collapsed="false">
      <c r="A14" s="4" t="s">
        <v>12</v>
      </c>
    </row>
    <row r="15" customFormat="false" ht="57.45" hidden="false" customHeight="false" outlineLevel="0" collapsed="false">
      <c r="A15" s="4" t="s">
        <v>13</v>
      </c>
    </row>
    <row r="16" customFormat="false" ht="15" hidden="false" customHeight="false" outlineLevel="0" collapsed="false">
      <c r="A16" s="4" t="s">
        <v>14</v>
      </c>
    </row>
    <row r="17" customFormat="false" ht="15" hidden="false" customHeight="false" outlineLevel="0" collapsed="false">
      <c r="A17" s="3" t="s">
        <v>15</v>
      </c>
    </row>
    <row r="18" customFormat="false" ht="23.85" hidden="false" customHeight="false" outlineLevel="0" collapsed="false">
      <c r="A18" s="4" t="s">
        <v>16</v>
      </c>
    </row>
    <row r="19" customFormat="false" ht="15" hidden="false" customHeight="false" outlineLevel="0" collapsed="false">
      <c r="A19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70"/>
  </cols>
  <sheetData>
    <row r="1" customFormat="false" ht="16.1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5" t="s">
        <v>19</v>
      </c>
      <c r="B4" s="6" t="s">
        <v>20</v>
      </c>
    </row>
    <row r="5" customFormat="false" ht="15" hidden="false" customHeight="false" outlineLevel="0" collapsed="false">
      <c r="A5" s="5" t="s">
        <v>21</v>
      </c>
      <c r="B5" s="6"/>
    </row>
    <row r="6" customFormat="false" ht="15" hidden="false" customHeight="false" outlineLevel="0" collapsed="false">
      <c r="A6" s="5" t="s">
        <v>22</v>
      </c>
      <c r="B6" s="6"/>
    </row>
    <row r="7" customFormat="false" ht="15" hidden="false" customHeight="false" outlineLevel="0" collapsed="false">
      <c r="A7" s="5" t="s">
        <v>23</v>
      </c>
      <c r="B7" s="6"/>
    </row>
    <row r="8" customFormat="false" ht="15" hidden="false" customHeight="false" outlineLevel="0" collapsed="false">
      <c r="A8" s="5" t="s">
        <v>24</v>
      </c>
      <c r="B8" s="6"/>
    </row>
    <row r="9" customFormat="false" ht="15" hidden="false" customHeight="false" outlineLevel="0" collapsed="false">
      <c r="A9" s="5" t="s">
        <v>25</v>
      </c>
      <c r="B9" s="6"/>
    </row>
    <row r="10" customFormat="false" ht="15" hidden="false" customHeight="false" outlineLevel="0" collapsed="false">
      <c r="A10" s="5" t="s">
        <v>26</v>
      </c>
      <c r="B10" s="6"/>
    </row>
    <row r="11" customFormat="false" ht="15" hidden="false" customHeight="false" outlineLevel="0" collapsed="false">
      <c r="A11" s="5" t="s">
        <v>27</v>
      </c>
      <c r="B11" s="6"/>
    </row>
    <row r="12" customFormat="false" ht="15" hidden="false" customHeight="false" outlineLevel="0" collapsed="false">
      <c r="A12" s="5" t="s">
        <v>28</v>
      </c>
      <c r="B12" s="6"/>
    </row>
    <row r="13" customFormat="false" ht="15" hidden="false" customHeight="false" outlineLevel="0" collapsed="false">
      <c r="A13" s="5" t="s">
        <v>29</v>
      </c>
      <c r="B13" s="6"/>
    </row>
    <row r="14" customFormat="false" ht="15" hidden="false" customHeight="false" outlineLevel="0" collapsed="false">
      <c r="A14" s="5" t="s">
        <v>30</v>
      </c>
      <c r="B14" s="6"/>
    </row>
    <row r="15" customFormat="false" ht="15" hidden="false" customHeight="false" outlineLevel="0" collapsed="false">
      <c r="A15" s="5" t="s">
        <v>31</v>
      </c>
      <c r="B15" s="6"/>
    </row>
    <row r="16" customFormat="false" ht="15" hidden="false" customHeight="false" outlineLevel="0" collapsed="false">
      <c r="A16" s="5" t="s">
        <v>32</v>
      </c>
      <c r="B16" s="6"/>
    </row>
    <row r="17" customFormat="false" ht="15" hidden="false" customHeight="false" outlineLevel="0" collapsed="false">
      <c r="A17" s="5" t="s">
        <v>33</v>
      </c>
      <c r="B17" s="6"/>
    </row>
    <row r="18" customFormat="false" ht="15" hidden="false" customHeight="false" outlineLevel="0" collapsed="false">
      <c r="A18" s="5" t="s">
        <v>34</v>
      </c>
      <c r="B18" s="6"/>
    </row>
    <row r="20" customFormat="false" ht="15" hidden="false" customHeight="false" outlineLevel="0" collapsed="false">
      <c r="A20" s="2" t="s">
        <v>35</v>
      </c>
    </row>
  </sheetData>
  <sheetProtection sheet="true" formatColumns="false" formatRows="false"/>
  <dataValidations count="3">
    <dataValidation allowBlank="false" errorStyle="stop" operator="between" showDropDown="false" showErrorMessage="false" showInputMessage="false" sqref="B4" type="list">
      <formula1>Lists!$B$1:$B$3</formula1>
      <formula2>0</formula2>
    </dataValidation>
    <dataValidation allowBlank="false" errorStyle="stop" operator="between" showDropDown="false" showErrorMessage="false" showInputMessage="false" sqref="B6" type="list">
      <formula1>Lists!$C$1:$C$5</formula1>
      <formula2>0</formula2>
    </dataValidation>
    <dataValidation allowBlank="false" errorStyle="stop" operator="between" showDropDown="false" showErrorMessage="false" showInputMessage="false" sqref="B13" type="list">
      <formula1>Lists!$E$1:$E$3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7"/>
    <col collapsed="false" customWidth="true" hidden="false" outlineLevel="0" max="9" min="9" style="0" width="9"/>
    <col collapsed="false" customWidth="true" hidden="false" outlineLevel="0" max="10" min="10" style="0" width="22"/>
    <col collapsed="false" customWidth="true" hidden="false" outlineLevel="0" max="11" min="11" style="0" width="36"/>
    <col collapsed="false" customWidth="true" hidden="false" outlineLevel="0" max="12" min="12" style="0" width="7"/>
  </cols>
  <sheetData>
    <row r="1" customFormat="false" ht="16.1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37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42</v>
      </c>
      <c r="G4" s="7" t="s">
        <v>43</v>
      </c>
      <c r="H4" s="7" t="s">
        <v>44</v>
      </c>
      <c r="I4" s="7" t="s">
        <v>45</v>
      </c>
      <c r="J4" s="7" t="s">
        <v>46</v>
      </c>
      <c r="K4" s="7" t="s">
        <v>47</v>
      </c>
      <c r="L4" s="7" t="s">
        <v>48</v>
      </c>
    </row>
    <row r="5" customFormat="false" ht="46.25" hidden="false" customHeight="false" outlineLevel="0" collapsed="false">
      <c r="A5" s="8" t="s">
        <v>49</v>
      </c>
      <c r="B5" s="8" t="s">
        <v>50</v>
      </c>
      <c r="C5" s="8" t="s">
        <v>51</v>
      </c>
      <c r="D5" s="8" t="s">
        <v>52</v>
      </c>
      <c r="E5" s="8" t="s">
        <v>53</v>
      </c>
      <c r="F5" s="9"/>
      <c r="G5" s="9"/>
      <c r="H5" s="10" t="str">
        <f aca="false">IF(AND(ISNUMBER(F5),ISNUMBER(G5)),F5-G5,"")</f>
        <v/>
      </c>
      <c r="I5" s="10" t="str">
        <f aca="false">IF(H5="","",IF(H5&gt;=2,"Red",IF(H5=1,"Amber","Green")))</f>
        <v/>
      </c>
      <c r="J5" s="10" t="str">
        <f aca="false">IF(OR(F5="N/A",G5="N/A"),IF(AND(Orientation!$B$4="1.3",F5&lt;&gt;G5),"N/A applies to both",""),IF(OR(AND(OR(Orientation!$B$4="1.1",Orientation!$B$4="1.3"),F5=""),AND(OR(Orientation!$B$4="1.2",Orientation!$B$4="1.3"),G5="")),"Not yet rated",""))</f>
        <v>Not yet rated</v>
      </c>
      <c r="K5" s="11"/>
      <c r="L5" s="10" t="n">
        <f aca="false">IF(OR(F5="N/A",G5="N/A"),0,IF(AND(OR(Orientation!$B$4="1.2",ISNUMBER(F5)),OR(Orientation!$B$4="1.1",ISNUMBER(G5))),1,0))</f>
        <v>0</v>
      </c>
    </row>
    <row r="6" customFormat="false" ht="46.25" hidden="false" customHeight="false" outlineLevel="0" collapsed="false">
      <c r="A6" s="8" t="s">
        <v>49</v>
      </c>
      <c r="B6" s="8" t="s">
        <v>50</v>
      </c>
      <c r="C6" s="8" t="s">
        <v>54</v>
      </c>
      <c r="D6" s="8" t="s">
        <v>55</v>
      </c>
      <c r="E6" s="8" t="s">
        <v>56</v>
      </c>
      <c r="F6" s="9"/>
      <c r="G6" s="9"/>
      <c r="H6" s="10" t="str">
        <f aca="false">IF(AND(ISNUMBER(F6),ISNUMBER(G6)),F6-G6,"")</f>
        <v/>
      </c>
      <c r="I6" s="10" t="str">
        <f aca="false">IF(H6="","",IF(H6&gt;=2,"Red",IF(H6=1,"Amber","Green")))</f>
        <v/>
      </c>
      <c r="J6" s="10" t="str">
        <f aca="false">IF(OR(F6="N/A",G6="N/A"),IF(AND(Orientation!$B$4="1.3",F6&lt;&gt;G6),"N/A applies to both",""),IF(OR(AND(OR(Orientation!$B$4="1.1",Orientation!$B$4="1.3"),F6=""),AND(OR(Orientation!$B$4="1.2",Orientation!$B$4="1.3"),G6="")),"Not yet rated",""))</f>
        <v>Not yet rated</v>
      </c>
      <c r="K6" s="11"/>
      <c r="L6" s="10" t="n">
        <f aca="false">IF(OR(F6="N/A",G6="N/A"),0,IF(AND(OR(Orientation!$B$4="1.2",ISNUMBER(F6)),OR(Orientation!$B$4="1.1",ISNUMBER(G6))),1,0))</f>
        <v>0</v>
      </c>
    </row>
    <row r="7" customFormat="false" ht="35.05" hidden="false" customHeight="false" outlineLevel="0" collapsed="false">
      <c r="A7" s="8" t="s">
        <v>49</v>
      </c>
      <c r="B7" s="8" t="s">
        <v>50</v>
      </c>
      <c r="C7" s="8" t="s">
        <v>20</v>
      </c>
      <c r="D7" s="8" t="s">
        <v>57</v>
      </c>
      <c r="E7" s="8" t="s">
        <v>58</v>
      </c>
      <c r="F7" s="9"/>
      <c r="G7" s="9"/>
      <c r="H7" s="10" t="str">
        <f aca="false">IF(AND(ISNUMBER(F7),ISNUMBER(G7)),F7-G7,"")</f>
        <v/>
      </c>
      <c r="I7" s="10" t="str">
        <f aca="false">IF(H7="","",IF(H7&gt;=2,"Red",IF(H7=1,"Amber","Green")))</f>
        <v/>
      </c>
      <c r="J7" s="10" t="str">
        <f aca="false">IF(OR(F7="N/A",G7="N/A"),IF(AND(Orientation!$B$4="1.3",F7&lt;&gt;G7),"N/A applies to both",""),IF(OR(AND(OR(Orientation!$B$4="1.1",Orientation!$B$4="1.3"),F7=""),AND(OR(Orientation!$B$4="1.2",Orientation!$B$4="1.3"),G7="")),"Not yet rated",""))</f>
        <v>Not yet rated</v>
      </c>
      <c r="K7" s="11"/>
      <c r="L7" s="10" t="n">
        <f aca="false">IF(OR(F7="N/A",G7="N/A"),0,IF(AND(OR(Orientation!$B$4="1.2",ISNUMBER(F7)),OR(Orientation!$B$4="1.1",ISNUMBER(G7))),1,0))</f>
        <v>0</v>
      </c>
    </row>
    <row r="8" customFormat="false" ht="35.05" hidden="false" customHeight="false" outlineLevel="0" collapsed="false">
      <c r="A8" s="8" t="s">
        <v>49</v>
      </c>
      <c r="B8" s="8" t="s">
        <v>50</v>
      </c>
      <c r="C8" s="8" t="s">
        <v>59</v>
      </c>
      <c r="D8" s="8" t="s">
        <v>60</v>
      </c>
      <c r="E8" s="8" t="s">
        <v>61</v>
      </c>
      <c r="F8" s="9"/>
      <c r="G8" s="9"/>
      <c r="H8" s="10" t="str">
        <f aca="false">IF(AND(ISNUMBER(F8),ISNUMBER(G8)),F8-G8,"")</f>
        <v/>
      </c>
      <c r="I8" s="10" t="str">
        <f aca="false">IF(H8="","",IF(H8&gt;=2,"Red",IF(H8=1,"Amber","Green")))</f>
        <v/>
      </c>
      <c r="J8" s="10" t="str">
        <f aca="false">IF(OR(F8="N/A",G8="N/A"),IF(AND(Orientation!$B$4="1.3",F8&lt;&gt;G8),"N/A applies to both",""),IF(OR(AND(OR(Orientation!$B$4="1.1",Orientation!$B$4="1.3"),F8=""),AND(OR(Orientation!$B$4="1.2",Orientation!$B$4="1.3"),G8="")),"Not yet rated",""))</f>
        <v>Not yet rated</v>
      </c>
      <c r="K8" s="11"/>
      <c r="L8" s="10" t="n">
        <f aca="false">IF(OR(F8="N/A",G8="N/A"),0,IF(AND(OR(Orientation!$B$4="1.2",ISNUMBER(F8)),OR(Orientation!$B$4="1.1",ISNUMBER(G8))),1,0))</f>
        <v>0</v>
      </c>
    </row>
    <row r="9" customFormat="false" ht="23.85" hidden="false" customHeight="false" outlineLevel="0" collapsed="false">
      <c r="A9" s="8" t="s">
        <v>62</v>
      </c>
      <c r="B9" s="8" t="s">
        <v>63</v>
      </c>
      <c r="C9" s="8" t="s">
        <v>64</v>
      </c>
      <c r="D9" s="8" t="s">
        <v>65</v>
      </c>
      <c r="E9" s="8" t="s">
        <v>66</v>
      </c>
      <c r="F9" s="9"/>
      <c r="G9" s="9"/>
      <c r="H9" s="10" t="str">
        <f aca="false">IF(AND(ISNUMBER(F9),ISNUMBER(G9)),F9-G9,"")</f>
        <v/>
      </c>
      <c r="I9" s="10" t="str">
        <f aca="false">IF(H9="","",IF(H9&gt;=2,"Red",IF(H9=1,"Amber","Green")))</f>
        <v/>
      </c>
      <c r="J9" s="10" t="str">
        <f aca="false">IF(OR(F9="N/A",G9="N/A"),IF(AND(Orientation!$B$4="1.3",F9&lt;&gt;G9),"N/A applies to both",""),IF(OR(AND(OR(Orientation!$B$4="1.1",Orientation!$B$4="1.3"),F9=""),AND(OR(Orientation!$B$4="1.2",Orientation!$B$4="1.3"),G9="")),"Not yet rated",""))</f>
        <v>Not yet rated</v>
      </c>
      <c r="K9" s="11"/>
      <c r="L9" s="10" t="n">
        <f aca="false">IF(OR(F9="N/A",G9="N/A"),0,IF(AND(OR(Orientation!$B$4="1.2",ISNUMBER(F9)),OR(Orientation!$B$4="1.1",ISNUMBER(G9))),1,0))</f>
        <v>0</v>
      </c>
    </row>
    <row r="10" customFormat="false" ht="35.05" hidden="false" customHeight="false" outlineLevel="0" collapsed="false">
      <c r="A10" s="8" t="s">
        <v>62</v>
      </c>
      <c r="B10" s="8" t="s">
        <v>63</v>
      </c>
      <c r="C10" s="8" t="s">
        <v>67</v>
      </c>
      <c r="D10" s="8" t="s">
        <v>68</v>
      </c>
      <c r="E10" s="8" t="s">
        <v>69</v>
      </c>
      <c r="F10" s="9"/>
      <c r="G10" s="9"/>
      <c r="H10" s="10" t="str">
        <f aca="false">IF(AND(ISNUMBER(F10),ISNUMBER(G10)),F10-G10,"")</f>
        <v/>
      </c>
      <c r="I10" s="10" t="str">
        <f aca="false">IF(H10="","",IF(H10&gt;=2,"Red",IF(H10=1,"Amber","Green")))</f>
        <v/>
      </c>
      <c r="J10" s="10" t="str">
        <f aca="false">IF(OR(F10="N/A",G10="N/A"),IF(AND(Orientation!$B$4="1.3",F10&lt;&gt;G10),"N/A applies to both",""),IF(OR(AND(OR(Orientation!$B$4="1.1",Orientation!$B$4="1.3"),F10=""),AND(OR(Orientation!$B$4="1.2",Orientation!$B$4="1.3"),G10="")),"Not yet rated",""))</f>
        <v>Not yet rated</v>
      </c>
      <c r="K10" s="11"/>
      <c r="L10" s="10" t="n">
        <f aca="false">IF(OR(F10="N/A",G10="N/A"),0,IF(AND(OR(Orientation!$B$4="1.2",ISNUMBER(F10)),OR(Orientation!$B$4="1.1",ISNUMBER(G10))),1,0))</f>
        <v>0</v>
      </c>
    </row>
    <row r="11" customFormat="false" ht="23.85" hidden="false" customHeight="false" outlineLevel="0" collapsed="false">
      <c r="A11" s="8" t="s">
        <v>62</v>
      </c>
      <c r="B11" s="8" t="s">
        <v>63</v>
      </c>
      <c r="C11" s="8" t="s">
        <v>70</v>
      </c>
      <c r="D11" s="8" t="s">
        <v>71</v>
      </c>
      <c r="E11" s="8" t="s">
        <v>72</v>
      </c>
      <c r="F11" s="9"/>
      <c r="G11" s="9"/>
      <c r="H11" s="10" t="str">
        <f aca="false">IF(AND(ISNUMBER(F11),ISNUMBER(G11)),F11-G11,"")</f>
        <v/>
      </c>
      <c r="I11" s="10" t="str">
        <f aca="false">IF(H11="","",IF(H11&gt;=2,"Red",IF(H11=1,"Amber","Green")))</f>
        <v/>
      </c>
      <c r="J11" s="10" t="str">
        <f aca="false">IF(OR(F11="N/A",G11="N/A"),IF(AND(Orientation!$B$4="1.3",F11&lt;&gt;G11),"N/A applies to both",""),IF(OR(AND(OR(Orientation!$B$4="1.1",Orientation!$B$4="1.3"),F11=""),AND(OR(Orientation!$B$4="1.2",Orientation!$B$4="1.3"),G11="")),"Not yet rated",""))</f>
        <v>Not yet rated</v>
      </c>
      <c r="K11" s="11"/>
      <c r="L11" s="10" t="n">
        <f aca="false">IF(OR(F11="N/A",G11="N/A"),0,IF(AND(OR(Orientation!$B$4="1.2",ISNUMBER(F11)),OR(Orientation!$B$4="1.1",ISNUMBER(G11))),1,0))</f>
        <v>0</v>
      </c>
    </row>
    <row r="12" customFormat="false" ht="23.85" hidden="false" customHeight="false" outlineLevel="0" collapsed="false">
      <c r="A12" s="8" t="s">
        <v>62</v>
      </c>
      <c r="B12" s="8" t="s">
        <v>63</v>
      </c>
      <c r="C12" s="8" t="s">
        <v>73</v>
      </c>
      <c r="D12" s="8" t="s">
        <v>74</v>
      </c>
      <c r="E12" s="8" t="s">
        <v>75</v>
      </c>
      <c r="F12" s="9"/>
      <c r="G12" s="9"/>
      <c r="H12" s="10" t="str">
        <f aca="false">IF(AND(ISNUMBER(F12),ISNUMBER(G12)),F12-G12,"")</f>
        <v/>
      </c>
      <c r="I12" s="10" t="str">
        <f aca="false">IF(H12="","",IF(H12&gt;=2,"Red",IF(H12=1,"Amber","Green")))</f>
        <v/>
      </c>
      <c r="J12" s="10" t="str">
        <f aca="false">IF(OR(F12="N/A",G12="N/A"),IF(AND(Orientation!$B$4="1.3",F12&lt;&gt;G12),"N/A applies to both",""),IF(OR(AND(OR(Orientation!$B$4="1.1",Orientation!$B$4="1.3"),F12=""),AND(OR(Orientation!$B$4="1.2",Orientation!$B$4="1.3"),G12="")),"Not yet rated",""))</f>
        <v>Not yet rated</v>
      </c>
      <c r="K12" s="11"/>
      <c r="L12" s="10" t="n">
        <f aca="false">IF(OR(F12="N/A",G12="N/A"),0,IF(AND(OR(Orientation!$B$4="1.2",ISNUMBER(F12)),OR(Orientation!$B$4="1.1",ISNUMBER(G12))),1,0))</f>
        <v>0</v>
      </c>
    </row>
    <row r="13" customFormat="false" ht="23.85" hidden="false" customHeight="false" outlineLevel="0" collapsed="false">
      <c r="A13" s="8" t="s">
        <v>62</v>
      </c>
      <c r="B13" s="8" t="s">
        <v>63</v>
      </c>
      <c r="C13" s="8" t="s">
        <v>76</v>
      </c>
      <c r="D13" s="8" t="s">
        <v>77</v>
      </c>
      <c r="E13" s="8" t="s">
        <v>78</v>
      </c>
      <c r="F13" s="9"/>
      <c r="G13" s="9"/>
      <c r="H13" s="10" t="str">
        <f aca="false">IF(AND(ISNUMBER(F13),ISNUMBER(G13)),F13-G13,"")</f>
        <v/>
      </c>
      <c r="I13" s="10" t="str">
        <f aca="false">IF(H13="","",IF(H13&gt;=2,"Red",IF(H13=1,"Amber","Green")))</f>
        <v/>
      </c>
      <c r="J13" s="10" t="str">
        <f aca="false">IF(OR(F13="N/A",G13="N/A"),IF(AND(Orientation!$B$4="1.3",F13&lt;&gt;G13),"N/A applies to both",""),IF(OR(AND(OR(Orientation!$B$4="1.1",Orientation!$B$4="1.3"),F13=""),AND(OR(Orientation!$B$4="1.2",Orientation!$B$4="1.3"),G13="")),"Not yet rated",""))</f>
        <v>Not yet rated</v>
      </c>
      <c r="K13" s="11"/>
      <c r="L13" s="10" t="n">
        <f aca="false">IF(OR(F13="N/A",G13="N/A"),0,IF(AND(OR(Orientation!$B$4="1.2",ISNUMBER(F13)),OR(Orientation!$B$4="1.1",ISNUMBER(G13))),1,0))</f>
        <v>0</v>
      </c>
    </row>
    <row r="14" customFormat="false" ht="35.05" hidden="false" customHeight="false" outlineLevel="0" collapsed="false">
      <c r="A14" s="8" t="s">
        <v>62</v>
      </c>
      <c r="B14" s="8" t="s">
        <v>63</v>
      </c>
      <c r="C14" s="8" t="s">
        <v>79</v>
      </c>
      <c r="D14" s="8" t="s">
        <v>80</v>
      </c>
      <c r="E14" s="8" t="s">
        <v>81</v>
      </c>
      <c r="F14" s="9"/>
      <c r="G14" s="9"/>
      <c r="H14" s="10" t="str">
        <f aca="false">IF(AND(ISNUMBER(F14),ISNUMBER(G14)),F14-G14,"")</f>
        <v/>
      </c>
      <c r="I14" s="10" t="str">
        <f aca="false">IF(H14="","",IF(H14&gt;=2,"Red",IF(H14=1,"Amber","Green")))</f>
        <v/>
      </c>
      <c r="J14" s="10" t="str">
        <f aca="false">IF(OR(F14="N/A",G14="N/A"),IF(AND(Orientation!$B$4="1.3",F14&lt;&gt;G14),"N/A applies to both",""),IF(OR(AND(OR(Orientation!$B$4="1.1",Orientation!$B$4="1.3"),F14=""),AND(OR(Orientation!$B$4="1.2",Orientation!$B$4="1.3"),G14="")),"Not yet rated",""))</f>
        <v>Not yet rated</v>
      </c>
      <c r="K14" s="11"/>
      <c r="L14" s="10" t="n">
        <f aca="false">IF(OR(F14="N/A",G14="N/A"),0,IF(AND(OR(Orientation!$B$4="1.2",ISNUMBER(F14)),OR(Orientation!$B$4="1.1",ISNUMBER(G14))),1,0))</f>
        <v>0</v>
      </c>
    </row>
    <row r="15" customFormat="false" ht="23.85" hidden="false" customHeight="false" outlineLevel="0" collapsed="false">
      <c r="A15" s="8" t="s">
        <v>82</v>
      </c>
      <c r="B15" s="8" t="s">
        <v>83</v>
      </c>
      <c r="C15" s="8" t="s">
        <v>84</v>
      </c>
      <c r="D15" s="8" t="s">
        <v>85</v>
      </c>
      <c r="E15" s="8" t="s">
        <v>86</v>
      </c>
      <c r="F15" s="9"/>
      <c r="G15" s="9"/>
      <c r="H15" s="10" t="str">
        <f aca="false">IF(AND(ISNUMBER(F15),ISNUMBER(G15)),F15-G15,"")</f>
        <v/>
      </c>
      <c r="I15" s="10" t="str">
        <f aca="false">IF(H15="","",IF(H15&gt;=2,"Red",IF(H15=1,"Amber","Green")))</f>
        <v/>
      </c>
      <c r="J15" s="10" t="str">
        <f aca="false">IF(OR(F15="N/A",G15="N/A"),IF(AND(Orientation!$B$4="1.3",F15&lt;&gt;G15),"N/A applies to both",""),IF(OR(AND(OR(Orientation!$B$4="1.1",Orientation!$B$4="1.3"),F15=""),AND(OR(Orientation!$B$4="1.2",Orientation!$B$4="1.3"),G15="")),"Not yet rated",""))</f>
        <v>Not yet rated</v>
      </c>
      <c r="K15" s="11"/>
      <c r="L15" s="10" t="n">
        <f aca="false">IF(OR(F15="N/A",G15="N/A"),0,IF(AND(OR(Orientation!$B$4="1.2",ISNUMBER(F15)),OR(Orientation!$B$4="1.1",ISNUMBER(G15))),1,0))</f>
        <v>0</v>
      </c>
    </row>
    <row r="16" customFormat="false" ht="23.85" hidden="false" customHeight="false" outlineLevel="0" collapsed="false">
      <c r="A16" s="8" t="s">
        <v>82</v>
      </c>
      <c r="B16" s="8" t="s">
        <v>83</v>
      </c>
      <c r="C16" s="8" t="s">
        <v>87</v>
      </c>
      <c r="D16" s="8" t="s">
        <v>88</v>
      </c>
      <c r="E16" s="8" t="s">
        <v>89</v>
      </c>
      <c r="F16" s="9"/>
      <c r="G16" s="9"/>
      <c r="H16" s="10" t="str">
        <f aca="false">IF(AND(ISNUMBER(F16),ISNUMBER(G16)),F16-G16,"")</f>
        <v/>
      </c>
      <c r="I16" s="10" t="str">
        <f aca="false">IF(H16="","",IF(H16&gt;=2,"Red",IF(H16=1,"Amber","Green")))</f>
        <v/>
      </c>
      <c r="J16" s="10" t="str">
        <f aca="false">IF(OR(F16="N/A",G16="N/A"),IF(AND(Orientation!$B$4="1.3",F16&lt;&gt;G16),"N/A applies to both",""),IF(OR(AND(OR(Orientation!$B$4="1.1",Orientation!$B$4="1.3"),F16=""),AND(OR(Orientation!$B$4="1.2",Orientation!$B$4="1.3"),G16="")),"Not yet rated",""))</f>
        <v>Not yet rated</v>
      </c>
      <c r="K16" s="11"/>
      <c r="L16" s="10" t="n">
        <f aca="false">IF(OR(F16="N/A",G16="N/A"),0,IF(AND(OR(Orientation!$B$4="1.2",ISNUMBER(F16)),OR(Orientation!$B$4="1.1",ISNUMBER(G16))),1,0))</f>
        <v>0</v>
      </c>
    </row>
    <row r="17" customFormat="false" ht="35.05" hidden="false" customHeight="false" outlineLevel="0" collapsed="false">
      <c r="A17" s="8" t="s">
        <v>82</v>
      </c>
      <c r="B17" s="8" t="s">
        <v>83</v>
      </c>
      <c r="C17" s="8" t="s">
        <v>90</v>
      </c>
      <c r="D17" s="8" t="s">
        <v>91</v>
      </c>
      <c r="E17" s="8" t="s">
        <v>92</v>
      </c>
      <c r="F17" s="9"/>
      <c r="G17" s="9"/>
      <c r="H17" s="10" t="str">
        <f aca="false">IF(AND(ISNUMBER(F17),ISNUMBER(G17)),F17-G17,"")</f>
        <v/>
      </c>
      <c r="I17" s="10" t="str">
        <f aca="false">IF(H17="","",IF(H17&gt;=2,"Red",IF(H17=1,"Amber","Green")))</f>
        <v/>
      </c>
      <c r="J17" s="10" t="str">
        <f aca="false">IF(OR(F17="N/A",G17="N/A"),IF(AND(Orientation!$B$4="1.3",F17&lt;&gt;G17),"N/A applies to both",""),IF(OR(AND(OR(Orientation!$B$4="1.1",Orientation!$B$4="1.3"),F17=""),AND(OR(Orientation!$B$4="1.2",Orientation!$B$4="1.3"),G17="")),"Not yet rated",""))</f>
        <v>Not yet rated</v>
      </c>
      <c r="K17" s="11"/>
      <c r="L17" s="10" t="n">
        <f aca="false">IF(OR(F17="N/A",G17="N/A"),0,IF(AND(OR(Orientation!$B$4="1.2",ISNUMBER(F17)),OR(Orientation!$B$4="1.1",ISNUMBER(G17))),1,0))</f>
        <v>0</v>
      </c>
    </row>
    <row r="18" customFormat="false" ht="46.25" hidden="false" customHeight="false" outlineLevel="0" collapsed="false">
      <c r="A18" s="8" t="s">
        <v>82</v>
      </c>
      <c r="B18" s="8" t="s">
        <v>83</v>
      </c>
      <c r="C18" s="8" t="s">
        <v>93</v>
      </c>
      <c r="D18" s="8" t="s">
        <v>94</v>
      </c>
      <c r="E18" s="8" t="s">
        <v>95</v>
      </c>
      <c r="F18" s="9"/>
      <c r="G18" s="9"/>
      <c r="H18" s="10" t="str">
        <f aca="false">IF(AND(ISNUMBER(F18),ISNUMBER(G18)),F18-G18,"")</f>
        <v/>
      </c>
      <c r="I18" s="10" t="str">
        <f aca="false">IF(H18="","",IF(H18&gt;=2,"Red",IF(H18=1,"Amber","Green")))</f>
        <v/>
      </c>
      <c r="J18" s="10" t="str">
        <f aca="false">IF(OR(F18="N/A",G18="N/A"),IF(AND(Orientation!$B$4="1.3",F18&lt;&gt;G18),"N/A applies to both",""),IF(OR(AND(OR(Orientation!$B$4="1.1",Orientation!$B$4="1.3"),F18=""),AND(OR(Orientation!$B$4="1.2",Orientation!$B$4="1.3"),G18="")),"Not yet rated",""))</f>
        <v>Not yet rated</v>
      </c>
      <c r="K18" s="11"/>
      <c r="L18" s="10" t="n">
        <f aca="false">IF(OR(F18="N/A",G18="N/A"),0,IF(AND(OR(Orientation!$B$4="1.2",ISNUMBER(F18)),OR(Orientation!$B$4="1.1",ISNUMBER(G18))),1,0))</f>
        <v>0</v>
      </c>
    </row>
    <row r="19" customFormat="false" ht="23.85" hidden="false" customHeight="false" outlineLevel="0" collapsed="false">
      <c r="A19" s="8" t="s">
        <v>82</v>
      </c>
      <c r="B19" s="8" t="s">
        <v>83</v>
      </c>
      <c r="C19" s="8" t="s">
        <v>96</v>
      </c>
      <c r="D19" s="8" t="s">
        <v>97</v>
      </c>
      <c r="E19" s="8" t="s">
        <v>98</v>
      </c>
      <c r="F19" s="9"/>
      <c r="G19" s="9"/>
      <c r="H19" s="10" t="str">
        <f aca="false">IF(AND(ISNUMBER(F19),ISNUMBER(G19)),F19-G19,"")</f>
        <v/>
      </c>
      <c r="I19" s="10" t="str">
        <f aca="false">IF(H19="","",IF(H19&gt;=2,"Red",IF(H19=1,"Amber","Green")))</f>
        <v/>
      </c>
      <c r="J19" s="10" t="str">
        <f aca="false">IF(OR(F19="N/A",G19="N/A"),IF(AND(Orientation!$B$4="1.3",F19&lt;&gt;G19),"N/A applies to both",""),IF(OR(AND(OR(Orientation!$B$4="1.1",Orientation!$B$4="1.3"),F19=""),AND(OR(Orientation!$B$4="1.2",Orientation!$B$4="1.3"),G19="")),"Not yet rated",""))</f>
        <v>Not yet rated</v>
      </c>
      <c r="K19" s="11"/>
      <c r="L19" s="10" t="n">
        <f aca="false">IF(OR(F19="N/A",G19="N/A"),0,IF(AND(OR(Orientation!$B$4="1.2",ISNUMBER(F19)),OR(Orientation!$B$4="1.1",ISNUMBER(G19))),1,0))</f>
        <v>0</v>
      </c>
    </row>
    <row r="20" customFormat="false" ht="35.05" hidden="false" customHeight="false" outlineLevel="0" collapsed="false">
      <c r="A20" s="8" t="s">
        <v>82</v>
      </c>
      <c r="B20" s="8" t="s">
        <v>83</v>
      </c>
      <c r="C20" s="8" t="s">
        <v>99</v>
      </c>
      <c r="D20" s="8" t="s">
        <v>100</v>
      </c>
      <c r="E20" s="8" t="s">
        <v>101</v>
      </c>
      <c r="F20" s="9"/>
      <c r="G20" s="9"/>
      <c r="H20" s="10" t="str">
        <f aca="false">IF(AND(ISNUMBER(F20),ISNUMBER(G20)),F20-G20,"")</f>
        <v/>
      </c>
      <c r="I20" s="10" t="str">
        <f aca="false">IF(H20="","",IF(H20&gt;=2,"Red",IF(H20=1,"Amber","Green")))</f>
        <v/>
      </c>
      <c r="J20" s="10" t="str">
        <f aca="false">IF(OR(F20="N/A",G20="N/A"),IF(AND(Orientation!$B$4="1.3",F20&lt;&gt;G20),"N/A applies to both",""),IF(OR(AND(OR(Orientation!$B$4="1.1",Orientation!$B$4="1.3"),F20=""),AND(OR(Orientation!$B$4="1.2",Orientation!$B$4="1.3"),G20="")),"Not yet rated",""))</f>
        <v>Not yet rated</v>
      </c>
      <c r="K20" s="11"/>
      <c r="L20" s="10" t="n">
        <f aca="false">IF(OR(F20="N/A",G20="N/A"),0,IF(AND(OR(Orientation!$B$4="1.2",ISNUMBER(F20)),OR(Orientation!$B$4="1.1",ISNUMBER(G20))),1,0))</f>
        <v>0</v>
      </c>
    </row>
    <row r="21" customFormat="false" ht="35.05" hidden="false" customHeight="false" outlineLevel="0" collapsed="false">
      <c r="A21" s="8" t="s">
        <v>102</v>
      </c>
      <c r="B21" s="8" t="s">
        <v>103</v>
      </c>
      <c r="C21" s="8" t="s">
        <v>104</v>
      </c>
      <c r="D21" s="8" t="s">
        <v>105</v>
      </c>
      <c r="E21" s="8" t="s">
        <v>106</v>
      </c>
      <c r="F21" s="9"/>
      <c r="G21" s="9"/>
      <c r="H21" s="10" t="str">
        <f aca="false">IF(AND(ISNUMBER(F21),ISNUMBER(G21)),F21-G21,"")</f>
        <v/>
      </c>
      <c r="I21" s="10" t="str">
        <f aca="false">IF(H21="","",IF(H21&gt;=2,"Red",IF(H21=1,"Amber","Green")))</f>
        <v/>
      </c>
      <c r="J21" s="10" t="str">
        <f aca="false">IF(OR(F21="N/A",G21="N/A"),IF(AND(Orientation!$B$4="1.3",F21&lt;&gt;G21),"N/A applies to both",""),IF(OR(AND(OR(Orientation!$B$4="1.1",Orientation!$B$4="1.3"),F21=""),AND(OR(Orientation!$B$4="1.2",Orientation!$B$4="1.3"),G21="")),"Not yet rated",""))</f>
        <v>Not yet rated</v>
      </c>
      <c r="K21" s="11"/>
      <c r="L21" s="10" t="n">
        <f aca="false">IF(OR(F21="N/A",G21="N/A"),0,IF(AND(OR(Orientation!$B$4="1.2",ISNUMBER(F21)),OR(Orientation!$B$4="1.1",ISNUMBER(G21))),1,0))</f>
        <v>0</v>
      </c>
    </row>
    <row r="22" customFormat="false" ht="46.25" hidden="false" customHeight="false" outlineLevel="0" collapsed="false">
      <c r="A22" s="8" t="s">
        <v>102</v>
      </c>
      <c r="B22" s="8" t="s">
        <v>103</v>
      </c>
      <c r="C22" s="8" t="s">
        <v>107</v>
      </c>
      <c r="D22" s="8" t="s">
        <v>108</v>
      </c>
      <c r="E22" s="8" t="s">
        <v>109</v>
      </c>
      <c r="F22" s="9"/>
      <c r="G22" s="9"/>
      <c r="H22" s="10" t="str">
        <f aca="false">IF(AND(ISNUMBER(F22),ISNUMBER(G22)),F22-G22,"")</f>
        <v/>
      </c>
      <c r="I22" s="10" t="str">
        <f aca="false">IF(H22="","",IF(H22&gt;=2,"Red",IF(H22=1,"Amber","Green")))</f>
        <v/>
      </c>
      <c r="J22" s="10" t="str">
        <f aca="false">IF(OR(F22="N/A",G22="N/A"),IF(AND(Orientation!$B$4="1.3",F22&lt;&gt;G22),"N/A applies to both",""),IF(OR(AND(OR(Orientation!$B$4="1.1",Orientation!$B$4="1.3"),F22=""),AND(OR(Orientation!$B$4="1.2",Orientation!$B$4="1.3"),G22="")),"Not yet rated",""))</f>
        <v>Not yet rated</v>
      </c>
      <c r="K22" s="11"/>
      <c r="L22" s="10" t="n">
        <f aca="false">IF(OR(F22="N/A",G22="N/A"),0,IF(AND(OR(Orientation!$B$4="1.2",ISNUMBER(F22)),OR(Orientation!$B$4="1.1",ISNUMBER(G22))),1,0))</f>
        <v>0</v>
      </c>
    </row>
    <row r="23" customFormat="false" ht="35.05" hidden="false" customHeight="false" outlineLevel="0" collapsed="false">
      <c r="A23" s="8" t="s">
        <v>102</v>
      </c>
      <c r="B23" s="8" t="s">
        <v>103</v>
      </c>
      <c r="C23" s="8" t="s">
        <v>110</v>
      </c>
      <c r="D23" s="8" t="s">
        <v>111</v>
      </c>
      <c r="E23" s="8" t="s">
        <v>112</v>
      </c>
      <c r="F23" s="9"/>
      <c r="G23" s="9"/>
      <c r="H23" s="10" t="str">
        <f aca="false">IF(AND(ISNUMBER(F23),ISNUMBER(G23)),F23-G23,"")</f>
        <v/>
      </c>
      <c r="I23" s="10" t="str">
        <f aca="false">IF(H23="","",IF(H23&gt;=2,"Red",IF(H23=1,"Amber","Green")))</f>
        <v/>
      </c>
      <c r="J23" s="10" t="str">
        <f aca="false">IF(OR(F23="N/A",G23="N/A"),IF(AND(Orientation!$B$4="1.3",F23&lt;&gt;G23),"N/A applies to both",""),IF(OR(AND(OR(Orientation!$B$4="1.1",Orientation!$B$4="1.3"),F23=""),AND(OR(Orientation!$B$4="1.2",Orientation!$B$4="1.3"),G23="")),"Not yet rated",""))</f>
        <v>Not yet rated</v>
      </c>
      <c r="K23" s="11"/>
      <c r="L23" s="10" t="n">
        <f aca="false">IF(OR(F23="N/A",G23="N/A"),0,IF(AND(OR(Orientation!$B$4="1.2",ISNUMBER(F23)),OR(Orientation!$B$4="1.1",ISNUMBER(G23))),1,0))</f>
        <v>0</v>
      </c>
    </row>
    <row r="24" customFormat="false" ht="35.05" hidden="false" customHeight="false" outlineLevel="0" collapsed="false">
      <c r="A24" s="8" t="s">
        <v>102</v>
      </c>
      <c r="B24" s="8" t="s">
        <v>103</v>
      </c>
      <c r="C24" s="8" t="s">
        <v>113</v>
      </c>
      <c r="D24" s="8" t="s">
        <v>114</v>
      </c>
      <c r="E24" s="8" t="s">
        <v>115</v>
      </c>
      <c r="F24" s="9"/>
      <c r="G24" s="9"/>
      <c r="H24" s="10" t="str">
        <f aca="false">IF(AND(ISNUMBER(F24),ISNUMBER(G24)),F24-G24,"")</f>
        <v/>
      </c>
      <c r="I24" s="10" t="str">
        <f aca="false">IF(H24="","",IF(H24&gt;=2,"Red",IF(H24=1,"Amber","Green")))</f>
        <v/>
      </c>
      <c r="J24" s="10" t="str">
        <f aca="false">IF(OR(F24="N/A",G24="N/A"),IF(AND(Orientation!$B$4="1.3",F24&lt;&gt;G24),"N/A applies to both",""),IF(OR(AND(OR(Orientation!$B$4="1.1",Orientation!$B$4="1.3"),F24=""),AND(OR(Orientation!$B$4="1.2",Orientation!$B$4="1.3"),G24="")),"Not yet rated",""))</f>
        <v>Not yet rated</v>
      </c>
      <c r="K24" s="11"/>
      <c r="L24" s="10" t="n">
        <f aca="false">IF(OR(F24="N/A",G24="N/A"),0,IF(AND(OR(Orientation!$B$4="1.2",ISNUMBER(F24)),OR(Orientation!$B$4="1.1",ISNUMBER(G24))),1,0))</f>
        <v>0</v>
      </c>
    </row>
    <row r="25" customFormat="false" ht="35.05" hidden="false" customHeight="false" outlineLevel="0" collapsed="false">
      <c r="A25" s="8" t="s">
        <v>102</v>
      </c>
      <c r="B25" s="8" t="s">
        <v>103</v>
      </c>
      <c r="C25" s="8" t="s">
        <v>116</v>
      </c>
      <c r="D25" s="8" t="s">
        <v>117</v>
      </c>
      <c r="E25" s="8" t="s">
        <v>118</v>
      </c>
      <c r="F25" s="9"/>
      <c r="G25" s="9"/>
      <c r="H25" s="10" t="str">
        <f aca="false">IF(AND(ISNUMBER(F25),ISNUMBER(G25)),F25-G25,"")</f>
        <v/>
      </c>
      <c r="I25" s="10" t="str">
        <f aca="false">IF(H25="","",IF(H25&gt;=2,"Red",IF(H25=1,"Amber","Green")))</f>
        <v/>
      </c>
      <c r="J25" s="10" t="str">
        <f aca="false">IF(OR(F25="N/A",G25="N/A"),IF(AND(Orientation!$B$4="1.3",F25&lt;&gt;G25),"N/A applies to both",""),IF(OR(AND(OR(Orientation!$B$4="1.1",Orientation!$B$4="1.3"),F25=""),AND(OR(Orientation!$B$4="1.2",Orientation!$B$4="1.3"),G25="")),"Not yet rated",""))</f>
        <v>Not yet rated</v>
      </c>
      <c r="K25" s="11"/>
      <c r="L25" s="10" t="n">
        <f aca="false">IF(OR(F25="N/A",G25="N/A"),0,IF(AND(OR(Orientation!$B$4="1.2",ISNUMBER(F25)),OR(Orientation!$B$4="1.1",ISNUMBER(G25))),1,0))</f>
        <v>0</v>
      </c>
    </row>
    <row r="26" customFormat="false" ht="23.85" hidden="false" customHeight="false" outlineLevel="0" collapsed="false">
      <c r="A26" s="8" t="s">
        <v>102</v>
      </c>
      <c r="B26" s="8" t="s">
        <v>103</v>
      </c>
      <c r="C26" s="8" t="s">
        <v>119</v>
      </c>
      <c r="D26" s="8" t="s">
        <v>120</v>
      </c>
      <c r="E26" s="8" t="s">
        <v>121</v>
      </c>
      <c r="F26" s="9"/>
      <c r="G26" s="9"/>
      <c r="H26" s="10" t="str">
        <f aca="false">IF(AND(ISNUMBER(F26),ISNUMBER(G26)),F26-G26,"")</f>
        <v/>
      </c>
      <c r="I26" s="10" t="str">
        <f aca="false">IF(H26="","",IF(H26&gt;=2,"Red",IF(H26=1,"Amber","Green")))</f>
        <v/>
      </c>
      <c r="J26" s="10" t="str">
        <f aca="false">IF(OR(F26="N/A",G26="N/A"),IF(AND(Orientation!$B$4="1.3",F26&lt;&gt;G26),"N/A applies to both",""),IF(OR(AND(OR(Orientation!$B$4="1.1",Orientation!$B$4="1.3"),F26=""),AND(OR(Orientation!$B$4="1.2",Orientation!$B$4="1.3"),G26="")),"Not yet rated",""))</f>
        <v>Not yet rated</v>
      </c>
      <c r="K26" s="11"/>
      <c r="L26" s="10" t="n">
        <f aca="false">IF(OR(F26="N/A",G26="N/A"),0,IF(AND(OR(Orientation!$B$4="1.2",ISNUMBER(F26)),OR(Orientation!$B$4="1.1",ISNUMBER(G26))),1,0))</f>
        <v>0</v>
      </c>
    </row>
    <row r="27" customFormat="false" ht="46.25" hidden="false" customHeight="false" outlineLevel="0" collapsed="false">
      <c r="A27" s="8" t="s">
        <v>122</v>
      </c>
      <c r="B27" s="8" t="s">
        <v>123</v>
      </c>
      <c r="C27" s="8" t="s">
        <v>124</v>
      </c>
      <c r="D27" s="8" t="s">
        <v>125</v>
      </c>
      <c r="E27" s="8" t="s">
        <v>126</v>
      </c>
      <c r="F27" s="9"/>
      <c r="G27" s="9"/>
      <c r="H27" s="10" t="str">
        <f aca="false">IF(AND(ISNUMBER(F27),ISNUMBER(G27)),F27-G27,"")</f>
        <v/>
      </c>
      <c r="I27" s="10" t="str">
        <f aca="false">IF(H27="","",IF(H27&gt;=2,"Red",IF(H27=1,"Amber","Green")))</f>
        <v/>
      </c>
      <c r="J27" s="10" t="str">
        <f aca="false">IF(OR(F27="N/A",G27="N/A"),IF(AND(Orientation!$B$4="1.3",F27&lt;&gt;G27),"N/A applies to both",""),IF(OR(AND(OR(Orientation!$B$4="1.1",Orientation!$B$4="1.3"),F27=""),AND(OR(Orientation!$B$4="1.2",Orientation!$B$4="1.3"),G27="")),"Not yet rated",""))</f>
        <v>Not yet rated</v>
      </c>
      <c r="K27" s="11"/>
      <c r="L27" s="10" t="n">
        <f aca="false">IF(OR(F27="N/A",G27="N/A"),0,IF(AND(OR(Orientation!$B$4="1.2",ISNUMBER(F27)),OR(Orientation!$B$4="1.1",ISNUMBER(G27))),1,0))</f>
        <v>0</v>
      </c>
    </row>
    <row r="28" customFormat="false" ht="35.05" hidden="false" customHeight="false" outlineLevel="0" collapsed="false">
      <c r="A28" s="8" t="s">
        <v>122</v>
      </c>
      <c r="B28" s="8" t="s">
        <v>123</v>
      </c>
      <c r="C28" s="8" t="s">
        <v>127</v>
      </c>
      <c r="D28" s="8" t="s">
        <v>128</v>
      </c>
      <c r="E28" s="8" t="s">
        <v>129</v>
      </c>
      <c r="F28" s="9"/>
      <c r="G28" s="9"/>
      <c r="H28" s="10" t="str">
        <f aca="false">IF(AND(ISNUMBER(F28),ISNUMBER(G28)),F28-G28,"")</f>
        <v/>
      </c>
      <c r="I28" s="10" t="str">
        <f aca="false">IF(H28="","",IF(H28&gt;=2,"Red",IF(H28=1,"Amber","Green")))</f>
        <v/>
      </c>
      <c r="J28" s="10" t="str">
        <f aca="false">IF(OR(F28="N/A",G28="N/A"),IF(AND(Orientation!$B$4="1.3",F28&lt;&gt;G28),"N/A applies to both",""),IF(OR(AND(OR(Orientation!$B$4="1.1",Orientation!$B$4="1.3"),F28=""),AND(OR(Orientation!$B$4="1.2",Orientation!$B$4="1.3"),G28="")),"Not yet rated",""))</f>
        <v>Not yet rated</v>
      </c>
      <c r="K28" s="11"/>
      <c r="L28" s="10" t="n">
        <f aca="false">IF(OR(F28="N/A",G28="N/A"),0,IF(AND(OR(Orientation!$B$4="1.2",ISNUMBER(F28)),OR(Orientation!$B$4="1.1",ISNUMBER(G28))),1,0))</f>
        <v>0</v>
      </c>
    </row>
    <row r="29" customFormat="false" ht="35.05" hidden="false" customHeight="false" outlineLevel="0" collapsed="false">
      <c r="A29" s="8" t="s">
        <v>122</v>
      </c>
      <c r="B29" s="8" t="s">
        <v>123</v>
      </c>
      <c r="C29" s="8" t="s">
        <v>130</v>
      </c>
      <c r="D29" s="8" t="s">
        <v>131</v>
      </c>
      <c r="E29" s="8" t="s">
        <v>132</v>
      </c>
      <c r="F29" s="9"/>
      <c r="G29" s="9"/>
      <c r="H29" s="10" t="str">
        <f aca="false">IF(AND(ISNUMBER(F29),ISNUMBER(G29)),F29-G29,"")</f>
        <v/>
      </c>
      <c r="I29" s="10" t="str">
        <f aca="false">IF(H29="","",IF(H29&gt;=2,"Red",IF(H29=1,"Amber","Green")))</f>
        <v/>
      </c>
      <c r="J29" s="10" t="str">
        <f aca="false">IF(OR(F29="N/A",G29="N/A"),IF(AND(Orientation!$B$4="1.3",F29&lt;&gt;G29),"N/A applies to both",""),IF(OR(AND(OR(Orientation!$B$4="1.1",Orientation!$B$4="1.3"),F29=""),AND(OR(Orientation!$B$4="1.2",Orientation!$B$4="1.3"),G29="")),"Not yet rated",""))</f>
        <v>Not yet rated</v>
      </c>
      <c r="K29" s="11"/>
      <c r="L29" s="10" t="n">
        <f aca="false">IF(OR(F29="N/A",G29="N/A"),0,IF(AND(OR(Orientation!$B$4="1.2",ISNUMBER(F29)),OR(Orientation!$B$4="1.1",ISNUMBER(G29))),1,0))</f>
        <v>0</v>
      </c>
    </row>
    <row r="30" customFormat="false" ht="46.25" hidden="false" customHeight="false" outlineLevel="0" collapsed="false">
      <c r="A30" s="8" t="s">
        <v>122</v>
      </c>
      <c r="B30" s="8" t="s">
        <v>123</v>
      </c>
      <c r="C30" s="8" t="s">
        <v>133</v>
      </c>
      <c r="D30" s="8" t="s">
        <v>134</v>
      </c>
      <c r="E30" s="8" t="s">
        <v>135</v>
      </c>
      <c r="F30" s="9"/>
      <c r="G30" s="9"/>
      <c r="H30" s="10" t="str">
        <f aca="false">IF(AND(ISNUMBER(F30),ISNUMBER(G30)),F30-G30,"")</f>
        <v/>
      </c>
      <c r="I30" s="10" t="str">
        <f aca="false">IF(H30="","",IF(H30&gt;=2,"Red",IF(H30=1,"Amber","Green")))</f>
        <v/>
      </c>
      <c r="J30" s="10" t="str">
        <f aca="false">IF(OR(F30="N/A",G30="N/A"),IF(AND(Orientation!$B$4="1.3",F30&lt;&gt;G30),"N/A applies to both",""),IF(OR(AND(OR(Orientation!$B$4="1.1",Orientation!$B$4="1.3"),F30=""),AND(OR(Orientation!$B$4="1.2",Orientation!$B$4="1.3"),G30="")),"Not yet rated",""))</f>
        <v>Not yet rated</v>
      </c>
      <c r="K30" s="11"/>
      <c r="L30" s="10" t="n">
        <f aca="false">IF(OR(F30="N/A",G30="N/A"),0,IF(AND(OR(Orientation!$B$4="1.2",ISNUMBER(F30)),OR(Orientation!$B$4="1.1",ISNUMBER(G30))),1,0))</f>
        <v>0</v>
      </c>
    </row>
    <row r="31" customFormat="false" ht="35.05" hidden="false" customHeight="false" outlineLevel="0" collapsed="false">
      <c r="A31" s="8" t="s">
        <v>136</v>
      </c>
      <c r="B31" s="8" t="s">
        <v>137</v>
      </c>
      <c r="C31" s="8" t="s">
        <v>138</v>
      </c>
      <c r="D31" s="8" t="s">
        <v>139</v>
      </c>
      <c r="E31" s="8" t="s">
        <v>140</v>
      </c>
      <c r="F31" s="9"/>
      <c r="G31" s="9"/>
      <c r="H31" s="10" t="str">
        <f aca="false">IF(AND(ISNUMBER(F31),ISNUMBER(G31)),F31-G31,"")</f>
        <v/>
      </c>
      <c r="I31" s="10" t="str">
        <f aca="false">IF(H31="","",IF(H31&gt;=2,"Red",IF(H31=1,"Amber","Green")))</f>
        <v/>
      </c>
      <c r="J31" s="10" t="str">
        <f aca="false">IF(OR(F31="N/A",G31="N/A"),IF(AND(Orientation!$B$4="1.3",F31&lt;&gt;G31),"N/A applies to both",""),IF(OR(AND(OR(Orientation!$B$4="1.1",Orientation!$B$4="1.3"),F31=""),AND(OR(Orientation!$B$4="1.2",Orientation!$B$4="1.3"),G31="")),"Not yet rated",""))</f>
        <v>Not yet rated</v>
      </c>
      <c r="K31" s="11"/>
      <c r="L31" s="10" t="n">
        <f aca="false">IF(OR(F31="N/A",G31="N/A"),0,IF(AND(OR(Orientation!$B$4="1.2",ISNUMBER(F31)),OR(Orientation!$B$4="1.1",ISNUMBER(G31))),1,0))</f>
        <v>0</v>
      </c>
    </row>
    <row r="32" customFormat="false" ht="35.05" hidden="false" customHeight="false" outlineLevel="0" collapsed="false">
      <c r="A32" s="8" t="s">
        <v>136</v>
      </c>
      <c r="B32" s="8" t="s">
        <v>137</v>
      </c>
      <c r="C32" s="8" t="s">
        <v>141</v>
      </c>
      <c r="D32" s="8" t="s">
        <v>142</v>
      </c>
      <c r="E32" s="8" t="s">
        <v>143</v>
      </c>
      <c r="F32" s="9"/>
      <c r="G32" s="9"/>
      <c r="H32" s="10" t="str">
        <f aca="false">IF(AND(ISNUMBER(F32),ISNUMBER(G32)),F32-G32,"")</f>
        <v/>
      </c>
      <c r="I32" s="10" t="str">
        <f aca="false">IF(H32="","",IF(H32&gt;=2,"Red",IF(H32=1,"Amber","Green")))</f>
        <v/>
      </c>
      <c r="J32" s="10" t="str">
        <f aca="false">IF(OR(F32="N/A",G32="N/A"),IF(AND(Orientation!$B$4="1.3",F32&lt;&gt;G32),"N/A applies to both",""),IF(OR(AND(OR(Orientation!$B$4="1.1",Orientation!$B$4="1.3"),F32=""),AND(OR(Orientation!$B$4="1.2",Orientation!$B$4="1.3"),G32="")),"Not yet rated",""))</f>
        <v>Not yet rated</v>
      </c>
      <c r="K32" s="11"/>
      <c r="L32" s="10" t="n">
        <f aca="false">IF(OR(F32="N/A",G32="N/A"),0,IF(AND(OR(Orientation!$B$4="1.2",ISNUMBER(F32)),OR(Orientation!$B$4="1.1",ISNUMBER(G32))),1,0))</f>
        <v>0</v>
      </c>
    </row>
    <row r="33" customFormat="false" ht="35.05" hidden="false" customHeight="false" outlineLevel="0" collapsed="false">
      <c r="A33" s="8" t="s">
        <v>136</v>
      </c>
      <c r="B33" s="8" t="s">
        <v>137</v>
      </c>
      <c r="C33" s="8" t="s">
        <v>144</v>
      </c>
      <c r="D33" s="8" t="s">
        <v>145</v>
      </c>
      <c r="E33" s="8" t="s">
        <v>146</v>
      </c>
      <c r="F33" s="9"/>
      <c r="G33" s="9"/>
      <c r="H33" s="10" t="str">
        <f aca="false">IF(AND(ISNUMBER(F33),ISNUMBER(G33)),F33-G33,"")</f>
        <v/>
      </c>
      <c r="I33" s="10" t="str">
        <f aca="false">IF(H33="","",IF(H33&gt;=2,"Red",IF(H33=1,"Amber","Green")))</f>
        <v/>
      </c>
      <c r="J33" s="10" t="str">
        <f aca="false">IF(OR(F33="N/A",G33="N/A"),IF(AND(Orientation!$B$4="1.3",F33&lt;&gt;G33),"N/A applies to both",""),IF(OR(AND(OR(Orientation!$B$4="1.1",Orientation!$B$4="1.3"),F33=""),AND(OR(Orientation!$B$4="1.2",Orientation!$B$4="1.3"),G33="")),"Not yet rated",""))</f>
        <v>Not yet rated</v>
      </c>
      <c r="K33" s="11"/>
      <c r="L33" s="10" t="n">
        <f aca="false">IF(OR(F33="N/A",G33="N/A"),0,IF(AND(OR(Orientation!$B$4="1.2",ISNUMBER(F33)),OR(Orientation!$B$4="1.1",ISNUMBER(G33))),1,0))</f>
        <v>0</v>
      </c>
    </row>
    <row r="34" customFormat="false" ht="23.85" hidden="false" customHeight="false" outlineLevel="0" collapsed="false">
      <c r="A34" s="8" t="s">
        <v>136</v>
      </c>
      <c r="B34" s="8" t="s">
        <v>137</v>
      </c>
      <c r="C34" s="8" t="s">
        <v>147</v>
      </c>
      <c r="D34" s="8" t="s">
        <v>148</v>
      </c>
      <c r="E34" s="8" t="s">
        <v>149</v>
      </c>
      <c r="F34" s="9"/>
      <c r="G34" s="9"/>
      <c r="H34" s="10" t="str">
        <f aca="false">IF(AND(ISNUMBER(F34),ISNUMBER(G34)),F34-G34,"")</f>
        <v/>
      </c>
      <c r="I34" s="10" t="str">
        <f aca="false">IF(H34="","",IF(H34&gt;=2,"Red",IF(H34=1,"Amber","Green")))</f>
        <v/>
      </c>
      <c r="J34" s="10" t="str">
        <f aca="false">IF(OR(F34="N/A",G34="N/A"),IF(AND(Orientation!$B$4="1.3",F34&lt;&gt;G34),"N/A applies to both",""),IF(OR(AND(OR(Orientation!$B$4="1.1",Orientation!$B$4="1.3"),F34=""),AND(OR(Orientation!$B$4="1.2",Orientation!$B$4="1.3"),G34="")),"Not yet rated",""))</f>
        <v>Not yet rated</v>
      </c>
      <c r="K34" s="11"/>
      <c r="L34" s="10" t="n">
        <f aca="false">IF(OR(F34="N/A",G34="N/A"),0,IF(AND(OR(Orientation!$B$4="1.2",ISNUMBER(F34)),OR(Orientation!$B$4="1.1",ISNUMBER(G34))),1,0))</f>
        <v>0</v>
      </c>
    </row>
    <row r="35" customFormat="false" ht="23.85" hidden="false" customHeight="false" outlineLevel="0" collapsed="false">
      <c r="A35" s="8" t="s">
        <v>150</v>
      </c>
      <c r="B35" s="8" t="s">
        <v>151</v>
      </c>
      <c r="C35" s="8" t="s">
        <v>152</v>
      </c>
      <c r="D35" s="8" t="s">
        <v>153</v>
      </c>
      <c r="E35" s="8" t="s">
        <v>154</v>
      </c>
      <c r="F35" s="9"/>
      <c r="G35" s="9"/>
      <c r="H35" s="10" t="str">
        <f aca="false">IF(AND(ISNUMBER(F35),ISNUMBER(G35)),F35-G35,"")</f>
        <v/>
      </c>
      <c r="I35" s="10" t="str">
        <f aca="false">IF(H35="","",IF(H35&gt;=2,"Red",IF(H35=1,"Amber","Green")))</f>
        <v/>
      </c>
      <c r="J35" s="10" t="str">
        <f aca="false">IF(OR(F35="N/A",G35="N/A"),IF(AND(Orientation!$B$4="1.3",F35&lt;&gt;G35),"N/A applies to both",""),IF(OR(AND(OR(Orientation!$B$4="1.1",Orientation!$B$4="1.3"),F35=""),AND(OR(Orientation!$B$4="1.2",Orientation!$B$4="1.3"),G35="")),"Not yet rated",""))</f>
        <v>Not yet rated</v>
      </c>
      <c r="K35" s="11"/>
      <c r="L35" s="10" t="n">
        <f aca="false">IF(OR(F35="N/A",G35="N/A"),0,IF(AND(OR(Orientation!$B$4="1.2",ISNUMBER(F35)),OR(Orientation!$B$4="1.1",ISNUMBER(G35))),1,0))</f>
        <v>0</v>
      </c>
    </row>
    <row r="36" customFormat="false" ht="35.05" hidden="false" customHeight="false" outlineLevel="0" collapsed="false">
      <c r="A36" s="8" t="s">
        <v>150</v>
      </c>
      <c r="B36" s="8" t="s">
        <v>151</v>
      </c>
      <c r="C36" s="8" t="s">
        <v>155</v>
      </c>
      <c r="D36" s="8" t="s">
        <v>156</v>
      </c>
      <c r="E36" s="8" t="s">
        <v>157</v>
      </c>
      <c r="F36" s="9"/>
      <c r="G36" s="9"/>
      <c r="H36" s="10" t="str">
        <f aca="false">IF(AND(ISNUMBER(F36),ISNUMBER(G36)),F36-G36,"")</f>
        <v/>
      </c>
      <c r="I36" s="10" t="str">
        <f aca="false">IF(H36="","",IF(H36&gt;=2,"Red",IF(H36=1,"Amber","Green")))</f>
        <v/>
      </c>
      <c r="J36" s="10" t="str">
        <f aca="false">IF(OR(F36="N/A",G36="N/A"),IF(AND(Orientation!$B$4="1.3",F36&lt;&gt;G36),"N/A applies to both",""),IF(OR(AND(OR(Orientation!$B$4="1.1",Orientation!$B$4="1.3"),F36=""),AND(OR(Orientation!$B$4="1.2",Orientation!$B$4="1.3"),G36="")),"Not yet rated",""))</f>
        <v>Not yet rated</v>
      </c>
      <c r="K36" s="11"/>
      <c r="L36" s="10" t="n">
        <f aca="false">IF(OR(F36="N/A",G36="N/A"),0,IF(AND(OR(Orientation!$B$4="1.2",ISNUMBER(F36)),OR(Orientation!$B$4="1.1",ISNUMBER(G36))),1,0))</f>
        <v>0</v>
      </c>
    </row>
    <row r="37" customFormat="false" ht="23.85" hidden="false" customHeight="false" outlineLevel="0" collapsed="false">
      <c r="A37" s="8" t="s">
        <v>150</v>
      </c>
      <c r="B37" s="8" t="s">
        <v>151</v>
      </c>
      <c r="C37" s="8" t="s">
        <v>158</v>
      </c>
      <c r="D37" s="8" t="s">
        <v>159</v>
      </c>
      <c r="E37" s="8" t="s">
        <v>160</v>
      </c>
      <c r="F37" s="9"/>
      <c r="G37" s="9"/>
      <c r="H37" s="10" t="str">
        <f aca="false">IF(AND(ISNUMBER(F37),ISNUMBER(G37)),F37-G37,"")</f>
        <v/>
      </c>
      <c r="I37" s="10" t="str">
        <f aca="false">IF(H37="","",IF(H37&gt;=2,"Red",IF(H37=1,"Amber","Green")))</f>
        <v/>
      </c>
      <c r="J37" s="10" t="str">
        <f aca="false">IF(OR(F37="N/A",G37="N/A"),IF(AND(Orientation!$B$4="1.3",F37&lt;&gt;G37),"N/A applies to both",""),IF(OR(AND(OR(Orientation!$B$4="1.1",Orientation!$B$4="1.3"),F37=""),AND(OR(Orientation!$B$4="1.2",Orientation!$B$4="1.3"),G37="")),"Not yet rated",""))</f>
        <v>Not yet rated</v>
      </c>
      <c r="K37" s="11"/>
      <c r="L37" s="10" t="n">
        <f aca="false">IF(OR(F37="N/A",G37="N/A"),0,IF(AND(OR(Orientation!$B$4="1.2",ISNUMBER(F37)),OR(Orientation!$B$4="1.1",ISNUMBER(G37))),1,0))</f>
        <v>0</v>
      </c>
    </row>
    <row r="38" customFormat="false" ht="35.05" hidden="false" customHeight="false" outlineLevel="0" collapsed="false">
      <c r="A38" s="8" t="s">
        <v>150</v>
      </c>
      <c r="B38" s="8" t="s">
        <v>151</v>
      </c>
      <c r="C38" s="8" t="s">
        <v>161</v>
      </c>
      <c r="D38" s="8" t="s">
        <v>162</v>
      </c>
      <c r="E38" s="8" t="s">
        <v>163</v>
      </c>
      <c r="F38" s="9"/>
      <c r="G38" s="9"/>
      <c r="H38" s="10" t="str">
        <f aca="false">IF(AND(ISNUMBER(F38),ISNUMBER(G38)),F38-G38,"")</f>
        <v/>
      </c>
      <c r="I38" s="10" t="str">
        <f aca="false">IF(H38="","",IF(H38&gt;=2,"Red",IF(H38=1,"Amber","Green")))</f>
        <v/>
      </c>
      <c r="J38" s="10" t="str">
        <f aca="false">IF(OR(F38="N/A",G38="N/A"),IF(AND(Orientation!$B$4="1.3",F38&lt;&gt;G38),"N/A applies to both",""),IF(OR(AND(OR(Orientation!$B$4="1.1",Orientation!$B$4="1.3"),F38=""),AND(OR(Orientation!$B$4="1.2",Orientation!$B$4="1.3"),G38="")),"Not yet rated",""))</f>
        <v>Not yet rated</v>
      </c>
      <c r="K38" s="11"/>
      <c r="L38" s="10" t="n">
        <f aca="false">IF(OR(F38="N/A",G38="N/A"),0,IF(AND(OR(Orientation!$B$4="1.2",ISNUMBER(F38)),OR(Orientation!$B$4="1.1",ISNUMBER(G38))),1,0))</f>
        <v>0</v>
      </c>
    </row>
  </sheetData>
  <sheetProtection sheet="true" formatColumns="false" formatRows="false"/>
  <conditionalFormatting sqref="I5:I38">
    <cfRule type="expression" priority="2" aboveAverage="0" equalAverage="0" bottom="0" percent="0" rank="0" text="" dxfId="0">
      <formula>$I5="Red"</formula>
    </cfRule>
    <cfRule type="expression" priority="3" aboveAverage="0" equalAverage="0" bottom="0" percent="0" rank="0" text="" dxfId="1">
      <formula>$I5="Amber"</formula>
    </cfRule>
    <cfRule type="expression" priority="4" aboveAverage="0" equalAverage="0" bottom="0" percent="0" rank="0" text="" dxfId="2">
      <formula>$I5="Green"</formula>
    </cfRule>
  </conditionalFormatting>
  <dataValidations count="1">
    <dataValidation allowBlank="true" error="Choose 0, 1, 2, 3 or N/A" errorStyle="stop" errorTitle="Rating" operator="between" showDropDown="false" showErrorMessage="true" showInputMessage="false" sqref="F5:G38" type="list">
      <formula1>Lists!$A$1:$A$5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16.15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7" t="s">
        <v>37</v>
      </c>
      <c r="B4" s="7" t="s">
        <v>38</v>
      </c>
      <c r="C4" s="7" t="s">
        <v>165</v>
      </c>
      <c r="D4" s="7" t="s">
        <v>166</v>
      </c>
      <c r="E4" s="7" t="s">
        <v>167</v>
      </c>
      <c r="F4" s="7" t="s">
        <v>168</v>
      </c>
      <c r="G4" s="7" t="s">
        <v>169</v>
      </c>
      <c r="H4" s="7" t="s">
        <v>170</v>
      </c>
      <c r="I4" s="7" t="s">
        <v>171</v>
      </c>
      <c r="J4" s="7" t="s">
        <v>172</v>
      </c>
    </row>
    <row r="5" customFormat="false" ht="15" hidden="false" customHeight="false" outlineLevel="0" collapsed="false">
      <c r="A5" s="12" t="s">
        <v>49</v>
      </c>
      <c r="B5" s="12" t="s">
        <v>50</v>
      </c>
      <c r="C5" s="10" t="n">
        <f aca="false">SUMIFS(Ratings!$L$5:$L$38,Ratings!$A$5:$A$38,$A5)</f>
        <v>0</v>
      </c>
      <c r="D5" s="10" t="n">
        <f aca="false">COUNTIFS(Ratings!$A$5:$A$38,$A5,Ratings!$J$5:$J$38,"Not yet rated")</f>
        <v>4</v>
      </c>
      <c r="E5" s="10" t="n">
        <f aca="false">IF(Orientation!$B$4="1.2","",SUMIFS(Ratings!$F$5:$F$38,Ratings!$A$5:$A$38,$A5,Ratings!$L$5:$L$38,1))</f>
        <v>0</v>
      </c>
      <c r="F5" s="10" t="n">
        <f aca="false">IF(Orientation!$B$4="1.1","",SUMIFS(Ratings!$G$5:$G$38,Ratings!$A$5:$A$38,$A5,Ratings!$L$5:$L$38,1))</f>
        <v>0</v>
      </c>
      <c r="G5" s="10" t="n">
        <f aca="false">IF(Orientation!$B$4="1.3",SUMIFS(Ratings!$H$5:$H$38,Ratings!$A$5:$A$38,$A5,Ratings!$H$5:$H$38,"&gt;0"),"")</f>
        <v>0</v>
      </c>
      <c r="H5" s="10" t="n">
        <f aca="false">IF(Orientation!$B$4="1.3",-SUMIFS(Ratings!$H$5:$H$38,Ratings!$A$5:$A$38,$A5,Ratings!$H$5:$H$38,"&lt;0"),"")</f>
        <v>-0</v>
      </c>
      <c r="I5" s="10" t="str">
        <f aca="false">IF(Orientation!$B$4="1.3",IF(COUNTIFS(Ratings!$A$5:$A$38,$A5,Ratings!$I$5:$I$38,"Red")&gt;0,"Red",IF(COUNTIFS(Ratings!$A$5:$A$38,$A5,Ratings!$I$5:$I$38,"Amber")&gt;0,"Amber",IF(COUNTIFS(Ratings!$A$5:$A$38,$A5,Ratings!$I$5:$I$38,"Green")&gt;0,"Green","No rating"))),"")</f>
        <v>No rating</v>
      </c>
      <c r="J5" s="13"/>
    </row>
    <row r="6" customFormat="false" ht="15" hidden="false" customHeight="false" outlineLevel="0" collapsed="false">
      <c r="A6" s="12" t="s">
        <v>62</v>
      </c>
      <c r="B6" s="12" t="s">
        <v>63</v>
      </c>
      <c r="C6" s="10" t="n">
        <f aca="false">SUMIFS(Ratings!$L$5:$L$38,Ratings!$A$5:$A$38,$A6)</f>
        <v>0</v>
      </c>
      <c r="D6" s="10" t="n">
        <f aca="false">COUNTIFS(Ratings!$A$5:$A$38,$A6,Ratings!$J$5:$J$38,"Not yet rated")</f>
        <v>6</v>
      </c>
      <c r="E6" s="10" t="n">
        <f aca="false">IF(Orientation!$B$4="1.2","",SUMIFS(Ratings!$F$5:$F$38,Ratings!$A$5:$A$38,$A6,Ratings!$L$5:$L$38,1))</f>
        <v>0</v>
      </c>
      <c r="F6" s="10" t="n">
        <f aca="false">IF(Orientation!$B$4="1.1","",SUMIFS(Ratings!$G$5:$G$38,Ratings!$A$5:$A$38,$A6,Ratings!$L$5:$L$38,1))</f>
        <v>0</v>
      </c>
      <c r="G6" s="10" t="n">
        <f aca="false">IF(Orientation!$B$4="1.3",SUMIFS(Ratings!$H$5:$H$38,Ratings!$A$5:$A$38,$A6,Ratings!$H$5:$H$38,"&gt;0"),"")</f>
        <v>0</v>
      </c>
      <c r="H6" s="10" t="n">
        <f aca="false">IF(Orientation!$B$4="1.3",-SUMIFS(Ratings!$H$5:$H$38,Ratings!$A$5:$A$38,$A6,Ratings!$H$5:$H$38,"&lt;0"),"")</f>
        <v>-0</v>
      </c>
      <c r="I6" s="10" t="str">
        <f aca="false">IF(Orientation!$B$4="1.3",IF(COUNTIFS(Ratings!$A$5:$A$38,$A6,Ratings!$I$5:$I$38,"Red")&gt;0,"Red",IF(COUNTIFS(Ratings!$A$5:$A$38,$A6,Ratings!$I$5:$I$38,"Amber")&gt;0,"Amber",IF(COUNTIFS(Ratings!$A$5:$A$38,$A6,Ratings!$I$5:$I$38,"Green")&gt;0,"Green","No rating"))),"")</f>
        <v>No rating</v>
      </c>
      <c r="J6" s="13"/>
    </row>
    <row r="7" customFormat="false" ht="15" hidden="false" customHeight="false" outlineLevel="0" collapsed="false">
      <c r="A7" s="12" t="s">
        <v>82</v>
      </c>
      <c r="B7" s="12" t="s">
        <v>83</v>
      </c>
      <c r="C7" s="10" t="n">
        <f aca="false">SUMIFS(Ratings!$L$5:$L$38,Ratings!$A$5:$A$38,$A7)</f>
        <v>0</v>
      </c>
      <c r="D7" s="10" t="n">
        <f aca="false">COUNTIFS(Ratings!$A$5:$A$38,$A7,Ratings!$J$5:$J$38,"Not yet rated")</f>
        <v>6</v>
      </c>
      <c r="E7" s="10" t="n">
        <f aca="false">IF(Orientation!$B$4="1.2","",SUMIFS(Ratings!$F$5:$F$38,Ratings!$A$5:$A$38,$A7,Ratings!$L$5:$L$38,1))</f>
        <v>0</v>
      </c>
      <c r="F7" s="10" t="n">
        <f aca="false">IF(Orientation!$B$4="1.1","",SUMIFS(Ratings!$G$5:$G$38,Ratings!$A$5:$A$38,$A7,Ratings!$L$5:$L$38,1))</f>
        <v>0</v>
      </c>
      <c r="G7" s="10" t="n">
        <f aca="false">IF(Orientation!$B$4="1.3",SUMIFS(Ratings!$H$5:$H$38,Ratings!$A$5:$A$38,$A7,Ratings!$H$5:$H$38,"&gt;0"),"")</f>
        <v>0</v>
      </c>
      <c r="H7" s="10" t="n">
        <f aca="false">IF(Orientation!$B$4="1.3",-SUMIFS(Ratings!$H$5:$H$38,Ratings!$A$5:$A$38,$A7,Ratings!$H$5:$H$38,"&lt;0"),"")</f>
        <v>-0</v>
      </c>
      <c r="I7" s="10" t="str">
        <f aca="false">IF(Orientation!$B$4="1.3",IF(COUNTIFS(Ratings!$A$5:$A$38,$A7,Ratings!$I$5:$I$38,"Red")&gt;0,"Red",IF(COUNTIFS(Ratings!$A$5:$A$38,$A7,Ratings!$I$5:$I$38,"Amber")&gt;0,"Amber",IF(COUNTIFS(Ratings!$A$5:$A$38,$A7,Ratings!$I$5:$I$38,"Green")&gt;0,"Green","No rating"))),"")</f>
        <v>No rating</v>
      </c>
      <c r="J7" s="13"/>
    </row>
    <row r="8" customFormat="false" ht="15" hidden="false" customHeight="false" outlineLevel="0" collapsed="false">
      <c r="A8" s="12" t="s">
        <v>102</v>
      </c>
      <c r="B8" s="12" t="s">
        <v>103</v>
      </c>
      <c r="C8" s="10" t="n">
        <f aca="false">SUMIFS(Ratings!$L$5:$L$38,Ratings!$A$5:$A$38,$A8)</f>
        <v>0</v>
      </c>
      <c r="D8" s="10" t="n">
        <f aca="false">COUNTIFS(Ratings!$A$5:$A$38,$A8,Ratings!$J$5:$J$38,"Not yet rated")</f>
        <v>6</v>
      </c>
      <c r="E8" s="10" t="n">
        <f aca="false">IF(Orientation!$B$4="1.2","",SUMIFS(Ratings!$F$5:$F$38,Ratings!$A$5:$A$38,$A8,Ratings!$L$5:$L$38,1))</f>
        <v>0</v>
      </c>
      <c r="F8" s="10" t="n">
        <f aca="false">IF(Orientation!$B$4="1.1","",SUMIFS(Ratings!$G$5:$G$38,Ratings!$A$5:$A$38,$A8,Ratings!$L$5:$L$38,1))</f>
        <v>0</v>
      </c>
      <c r="G8" s="10" t="n">
        <f aca="false">IF(Orientation!$B$4="1.3",SUMIFS(Ratings!$H$5:$H$38,Ratings!$A$5:$A$38,$A8,Ratings!$H$5:$H$38,"&gt;0"),"")</f>
        <v>0</v>
      </c>
      <c r="H8" s="10" t="n">
        <f aca="false">IF(Orientation!$B$4="1.3",-SUMIFS(Ratings!$H$5:$H$38,Ratings!$A$5:$A$38,$A8,Ratings!$H$5:$H$38,"&lt;0"),"")</f>
        <v>-0</v>
      </c>
      <c r="I8" s="10" t="str">
        <f aca="false">IF(Orientation!$B$4="1.3",IF(COUNTIFS(Ratings!$A$5:$A$38,$A8,Ratings!$I$5:$I$38,"Red")&gt;0,"Red",IF(COUNTIFS(Ratings!$A$5:$A$38,$A8,Ratings!$I$5:$I$38,"Amber")&gt;0,"Amber",IF(COUNTIFS(Ratings!$A$5:$A$38,$A8,Ratings!$I$5:$I$38,"Green")&gt;0,"Green","No rating"))),"")</f>
        <v>No rating</v>
      </c>
      <c r="J8" s="13"/>
    </row>
    <row r="9" customFormat="false" ht="15" hidden="false" customHeight="false" outlineLevel="0" collapsed="false">
      <c r="A9" s="12" t="s">
        <v>122</v>
      </c>
      <c r="B9" s="12" t="s">
        <v>123</v>
      </c>
      <c r="C9" s="10" t="n">
        <f aca="false">SUMIFS(Ratings!$L$5:$L$38,Ratings!$A$5:$A$38,$A9)</f>
        <v>0</v>
      </c>
      <c r="D9" s="10" t="n">
        <f aca="false">COUNTIFS(Ratings!$A$5:$A$38,$A9,Ratings!$J$5:$J$38,"Not yet rated")</f>
        <v>4</v>
      </c>
      <c r="E9" s="10" t="n">
        <f aca="false">IF(Orientation!$B$4="1.2","",SUMIFS(Ratings!$F$5:$F$38,Ratings!$A$5:$A$38,$A9,Ratings!$L$5:$L$38,1))</f>
        <v>0</v>
      </c>
      <c r="F9" s="10" t="n">
        <f aca="false">IF(Orientation!$B$4="1.1","",SUMIFS(Ratings!$G$5:$G$38,Ratings!$A$5:$A$38,$A9,Ratings!$L$5:$L$38,1))</f>
        <v>0</v>
      </c>
      <c r="G9" s="10" t="n">
        <f aca="false">IF(Orientation!$B$4="1.3",SUMIFS(Ratings!$H$5:$H$38,Ratings!$A$5:$A$38,$A9,Ratings!$H$5:$H$38,"&gt;0"),"")</f>
        <v>0</v>
      </c>
      <c r="H9" s="10" t="n">
        <f aca="false">IF(Orientation!$B$4="1.3",-SUMIFS(Ratings!$H$5:$H$38,Ratings!$A$5:$A$38,$A9,Ratings!$H$5:$H$38,"&lt;0"),"")</f>
        <v>-0</v>
      </c>
      <c r="I9" s="10" t="str">
        <f aca="false">IF(Orientation!$B$4="1.3",IF(COUNTIFS(Ratings!$A$5:$A$38,$A9,Ratings!$I$5:$I$38,"Red")&gt;0,"Red",IF(COUNTIFS(Ratings!$A$5:$A$38,$A9,Ratings!$I$5:$I$38,"Amber")&gt;0,"Amber",IF(COUNTIFS(Ratings!$A$5:$A$38,$A9,Ratings!$I$5:$I$38,"Green")&gt;0,"Green","No rating"))),"")</f>
        <v>No rating</v>
      </c>
      <c r="J9" s="13"/>
    </row>
    <row r="10" customFormat="false" ht="15" hidden="false" customHeight="false" outlineLevel="0" collapsed="false">
      <c r="A10" s="12" t="s">
        <v>136</v>
      </c>
      <c r="B10" s="12" t="s">
        <v>137</v>
      </c>
      <c r="C10" s="10" t="n">
        <f aca="false">SUMIFS(Ratings!$L$5:$L$38,Ratings!$A$5:$A$38,$A10)</f>
        <v>0</v>
      </c>
      <c r="D10" s="10" t="n">
        <f aca="false">COUNTIFS(Ratings!$A$5:$A$38,$A10,Ratings!$J$5:$J$38,"Not yet rated")</f>
        <v>4</v>
      </c>
      <c r="E10" s="10" t="n">
        <f aca="false">IF(Orientation!$B$4="1.2","",SUMIFS(Ratings!$F$5:$F$38,Ratings!$A$5:$A$38,$A10,Ratings!$L$5:$L$38,1))</f>
        <v>0</v>
      </c>
      <c r="F10" s="10" t="n">
        <f aca="false">IF(Orientation!$B$4="1.1","",SUMIFS(Ratings!$G$5:$G$38,Ratings!$A$5:$A$38,$A10,Ratings!$L$5:$L$38,1))</f>
        <v>0</v>
      </c>
      <c r="G10" s="10" t="n">
        <f aca="false">IF(Orientation!$B$4="1.3",SUMIFS(Ratings!$H$5:$H$38,Ratings!$A$5:$A$38,$A10,Ratings!$H$5:$H$38,"&gt;0"),"")</f>
        <v>0</v>
      </c>
      <c r="H10" s="10" t="n">
        <f aca="false">IF(Orientation!$B$4="1.3",-SUMIFS(Ratings!$H$5:$H$38,Ratings!$A$5:$A$38,$A10,Ratings!$H$5:$H$38,"&lt;0"),"")</f>
        <v>-0</v>
      </c>
      <c r="I10" s="10" t="str">
        <f aca="false">IF(Orientation!$B$4="1.3",IF(COUNTIFS(Ratings!$A$5:$A$38,$A10,Ratings!$I$5:$I$38,"Red")&gt;0,"Red",IF(COUNTIFS(Ratings!$A$5:$A$38,$A10,Ratings!$I$5:$I$38,"Amber")&gt;0,"Amber",IF(COUNTIFS(Ratings!$A$5:$A$38,$A10,Ratings!$I$5:$I$38,"Green")&gt;0,"Green","No rating"))),"")</f>
        <v>No rating</v>
      </c>
      <c r="J10" s="13"/>
    </row>
    <row r="11" customFormat="false" ht="15" hidden="false" customHeight="false" outlineLevel="0" collapsed="false">
      <c r="A11" s="12" t="s">
        <v>150</v>
      </c>
      <c r="B11" s="12" t="s">
        <v>151</v>
      </c>
      <c r="C11" s="10" t="n">
        <f aca="false">SUMIFS(Ratings!$L$5:$L$38,Ratings!$A$5:$A$38,$A11)</f>
        <v>0</v>
      </c>
      <c r="D11" s="10" t="n">
        <f aca="false">COUNTIFS(Ratings!$A$5:$A$38,$A11,Ratings!$J$5:$J$38,"Not yet rated")</f>
        <v>4</v>
      </c>
      <c r="E11" s="10" t="n">
        <f aca="false">IF(Orientation!$B$4="1.2","",SUMIFS(Ratings!$F$5:$F$38,Ratings!$A$5:$A$38,$A11,Ratings!$L$5:$L$38,1))</f>
        <v>0</v>
      </c>
      <c r="F11" s="10" t="n">
        <f aca="false">IF(Orientation!$B$4="1.1","",SUMIFS(Ratings!$G$5:$G$38,Ratings!$A$5:$A$38,$A11,Ratings!$L$5:$L$38,1))</f>
        <v>0</v>
      </c>
      <c r="G11" s="10" t="n">
        <f aca="false">IF(Orientation!$B$4="1.3",SUMIFS(Ratings!$H$5:$H$38,Ratings!$A$5:$A$38,$A11,Ratings!$H$5:$H$38,"&gt;0"),"")</f>
        <v>0</v>
      </c>
      <c r="H11" s="10" t="n">
        <f aca="false">IF(Orientation!$B$4="1.3",-SUMIFS(Ratings!$H$5:$H$38,Ratings!$A$5:$A$38,$A11,Ratings!$H$5:$H$38,"&lt;0"),"")</f>
        <v>-0</v>
      </c>
      <c r="I11" s="10" t="str">
        <f aca="false">IF(Orientation!$B$4="1.3",IF(COUNTIFS(Ratings!$A$5:$A$38,$A11,Ratings!$I$5:$I$38,"Red")&gt;0,"Red",IF(COUNTIFS(Ratings!$A$5:$A$38,$A11,Ratings!$I$5:$I$38,"Amber")&gt;0,"Amber",IF(COUNTIFS(Ratings!$A$5:$A$38,$A11,Ratings!$I$5:$I$38,"Green")&gt;0,"Green","No rating"))),"")</f>
        <v>No rating</v>
      </c>
      <c r="J11" s="13"/>
    </row>
    <row r="12" customFormat="false" ht="15" hidden="false" customHeight="false" outlineLevel="0" collapsed="false">
      <c r="A12" s="14"/>
      <c r="B12" s="14" t="s">
        <v>173</v>
      </c>
      <c r="C12" s="15" t="n">
        <f aca="false">SUM(C5:C11)</f>
        <v>0</v>
      </c>
      <c r="D12" s="15" t="n">
        <f aca="false">SUM(D5:D11)</f>
        <v>34</v>
      </c>
      <c r="E12" s="15" t="n">
        <f aca="false">IF(Orientation!$B$4="1.2","",SUM(E5:E11))</f>
        <v>0</v>
      </c>
      <c r="F12" s="15" t="n">
        <f aca="false">IF(Orientation!$B$4="1.1","",SUM(F5:F11))</f>
        <v>0</v>
      </c>
      <c r="G12" s="15" t="n">
        <f aca="false">IF(Orientation!$B$4="1.3",SUM(G5:G11),"")</f>
        <v>0</v>
      </c>
      <c r="H12" s="15" t="n">
        <f aca="false">IF(Orientation!$B$4="1.3",SUM(H5:H11),"")</f>
        <v>0</v>
      </c>
      <c r="I12" s="16" t="str">
        <f aca="false">IF(Orientation!$B$4="1.3",IF(COUNTIF(I5:I11,"Red")&gt;0,"Red",IF(COUNTIF(I5:I11,"Amber")&gt;0,"Amber",IF(COUNTIF(I5:I11,"Green")&gt;0,"Green","No rating"))),"")</f>
        <v>No rating</v>
      </c>
      <c r="J12" s="17"/>
    </row>
    <row r="14" customFormat="false" ht="15" hidden="false" customHeight="false" outlineLevel="0" collapsed="false">
      <c r="A14" s="2" t="s">
        <v>174</v>
      </c>
    </row>
    <row r="15" customFormat="false" ht="15" hidden="false" customHeight="false" outlineLevel="0" collapsed="false">
      <c r="A15" s="2" t="s">
        <v>175</v>
      </c>
    </row>
    <row r="16" customFormat="false" ht="15" hidden="false" customHeight="false" outlineLevel="0" collapsed="false">
      <c r="A16" s="2" t="s">
        <v>176</v>
      </c>
    </row>
    <row r="17" customFormat="false" ht="15" hidden="false" customHeight="false" outlineLevel="0" collapsed="false">
      <c r="A17" s="2" t="s">
        <v>177</v>
      </c>
    </row>
  </sheetData>
  <sheetProtection sheet="true" formatColumns="false" formatRows="false"/>
  <conditionalFormatting sqref="I5:I12">
    <cfRule type="expression" priority="2" aboveAverage="0" equalAverage="0" bottom="0" percent="0" rank="0" text="" dxfId="0">
      <formula>$I5="Red"</formula>
    </cfRule>
    <cfRule type="expression" priority="3" aboveAverage="0" equalAverage="0" bottom="0" percent="0" rank="0" text="" dxfId="1">
      <formula>$I5="Amber"</formula>
    </cfRule>
    <cfRule type="expression" priority="4" aboveAverage="0" equalAverage="0" bottom="0" percent="0" rank="0" text="" dxfId="2">
      <formula>$I5="Green"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16.15" hidden="false" customHeight="false" outlineLevel="0" collapsed="false">
      <c r="A1" s="1" t="s">
        <v>178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179</v>
      </c>
      <c r="B4" s="7" t="s">
        <v>40</v>
      </c>
      <c r="C4" s="7" t="s">
        <v>180</v>
      </c>
      <c r="D4" s="7" t="s">
        <v>181</v>
      </c>
      <c r="E4" s="7" t="s">
        <v>182</v>
      </c>
    </row>
    <row r="5" customFormat="false" ht="15" hidden="false" customHeight="false" outlineLevel="0" collapsed="false">
      <c r="A5" s="5" t="n">
        <v>1</v>
      </c>
      <c r="B5" s="18"/>
      <c r="C5" s="18"/>
      <c r="D5" s="18"/>
      <c r="E5" s="18"/>
    </row>
    <row r="6" customFormat="false" ht="15" hidden="false" customHeight="false" outlineLevel="0" collapsed="false">
      <c r="A6" s="5" t="n">
        <v>2</v>
      </c>
      <c r="B6" s="18"/>
      <c r="C6" s="18"/>
      <c r="D6" s="18"/>
      <c r="E6" s="18"/>
    </row>
    <row r="7" customFormat="false" ht="15" hidden="false" customHeight="false" outlineLevel="0" collapsed="false">
      <c r="A7" s="5" t="n">
        <v>3</v>
      </c>
      <c r="B7" s="18"/>
      <c r="C7" s="18"/>
      <c r="D7" s="18"/>
      <c r="E7" s="18"/>
    </row>
    <row r="8" customFormat="false" ht="15" hidden="false" customHeight="false" outlineLevel="0" collapsed="false">
      <c r="A8" s="5" t="n">
        <v>4</v>
      </c>
      <c r="B8" s="18"/>
      <c r="C8" s="18"/>
      <c r="D8" s="18"/>
      <c r="E8" s="18"/>
    </row>
    <row r="9" customFormat="false" ht="15" hidden="false" customHeight="false" outlineLevel="0" collapsed="false">
      <c r="A9" s="5" t="n">
        <v>5</v>
      </c>
      <c r="B9" s="18"/>
      <c r="C9" s="18"/>
      <c r="D9" s="18"/>
      <c r="E9" s="18"/>
    </row>
    <row r="11" customFormat="false" ht="15" hidden="false" customHeight="false" outlineLevel="0" collapsed="false">
      <c r="A11" s="19" t="s">
        <v>183</v>
      </c>
    </row>
    <row r="12" customFormat="false" ht="15" hidden="false" customHeight="false" outlineLevel="0" collapsed="false">
      <c r="A12" s="20"/>
      <c r="B12" s="20"/>
      <c r="C12" s="20"/>
      <c r="D12" s="20"/>
      <c r="E12" s="20"/>
    </row>
    <row r="13" customFormat="false" ht="15" hidden="false" customHeight="false" outlineLevel="0" collapsed="false">
      <c r="A13" s="20"/>
      <c r="B13" s="20"/>
      <c r="C13" s="20"/>
      <c r="D13" s="20"/>
      <c r="E13" s="20"/>
    </row>
    <row r="14" customFormat="false" ht="15" hidden="false" customHeight="false" outlineLevel="0" collapsed="false">
      <c r="A14" s="20"/>
      <c r="B14" s="20"/>
      <c r="C14" s="20"/>
      <c r="D14" s="20"/>
      <c r="E14" s="20"/>
    </row>
    <row r="15" customFormat="false" ht="15" hidden="false" customHeight="false" outlineLevel="0" collapsed="false">
      <c r="A15" s="20"/>
      <c r="B15" s="20"/>
      <c r="C15" s="20"/>
      <c r="D15" s="20"/>
      <c r="E15" s="20"/>
    </row>
    <row r="16" customFormat="false" ht="15" hidden="false" customHeight="false" outlineLevel="0" collapsed="false">
      <c r="A16" s="20"/>
      <c r="B16" s="20"/>
      <c r="C16" s="20"/>
      <c r="D16" s="20"/>
      <c r="E16" s="20"/>
    </row>
    <row r="17" customFormat="false" ht="15" hidden="false" customHeight="false" outlineLevel="0" collapsed="false">
      <c r="A17" s="20"/>
      <c r="B17" s="20"/>
      <c r="C17" s="20"/>
      <c r="D17" s="20"/>
      <c r="E17" s="20"/>
    </row>
    <row r="18" customFormat="false" ht="15" hidden="false" customHeight="false" outlineLevel="0" collapsed="false">
      <c r="A18" s="20"/>
      <c r="B18" s="20"/>
      <c r="C18" s="20"/>
      <c r="D18" s="20"/>
      <c r="E18" s="20"/>
    </row>
    <row r="19" customFormat="false" ht="15" hidden="false" customHeight="false" outlineLevel="0" collapsed="false">
      <c r="A19" s="20"/>
      <c r="B19" s="20"/>
      <c r="C19" s="20"/>
      <c r="D19" s="20"/>
      <c r="E19" s="20"/>
    </row>
    <row r="20" customFormat="false" ht="15" hidden="false" customHeight="false" outlineLevel="0" collapsed="false">
      <c r="A20" s="20"/>
      <c r="B20" s="20"/>
      <c r="C20" s="20"/>
      <c r="D20" s="20"/>
      <c r="E20" s="20"/>
    </row>
    <row r="21" customFormat="false" ht="15" hidden="false" customHeight="false" outlineLevel="0" collapsed="false">
      <c r="A21" s="20"/>
      <c r="B21" s="20"/>
      <c r="C21" s="20"/>
      <c r="D21" s="20"/>
      <c r="E21" s="20"/>
    </row>
    <row r="22" customFormat="false" ht="15" hidden="false" customHeight="false" outlineLevel="0" collapsed="false">
      <c r="A22" s="20"/>
      <c r="B22" s="20"/>
      <c r="C22" s="20"/>
      <c r="D22" s="20"/>
      <c r="E22" s="20"/>
    </row>
    <row r="24" customFormat="false" ht="15" hidden="false" customHeight="false" outlineLevel="0" collapsed="false">
      <c r="A24" s="19" t="s">
        <v>184</v>
      </c>
    </row>
    <row r="25" customFormat="false" ht="15" hidden="false" customHeight="false" outlineLevel="0" collapsed="false">
      <c r="A25" s="7"/>
      <c r="B25" s="7" t="s">
        <v>185</v>
      </c>
      <c r="C25" s="7" t="s">
        <v>186</v>
      </c>
      <c r="D25" s="7" t="s">
        <v>187</v>
      </c>
      <c r="E25" s="7"/>
    </row>
    <row r="26" customFormat="false" ht="15" hidden="false" customHeight="false" outlineLevel="0" collapsed="false">
      <c r="B26" s="21"/>
      <c r="C26" s="21"/>
      <c r="D26" s="21"/>
    </row>
  </sheetData>
  <sheetProtection sheet="true" formatColumns="false" formatRows="false"/>
  <mergeCells count="1">
    <mergeCell ref="A1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34"/>
  </cols>
  <sheetData>
    <row r="1" customFormat="false" ht="16.15" hidden="false" customHeight="false" outlineLevel="0" collapsed="false">
      <c r="A1" s="1" t="s">
        <v>188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7" t="s">
        <v>39</v>
      </c>
      <c r="B4" s="7" t="s">
        <v>40</v>
      </c>
      <c r="C4" s="7" t="s">
        <v>189</v>
      </c>
      <c r="D4" s="7" t="s">
        <v>190</v>
      </c>
      <c r="E4" s="7" t="s">
        <v>191</v>
      </c>
      <c r="F4" s="7" t="s">
        <v>192</v>
      </c>
      <c r="G4" s="7" t="s">
        <v>193</v>
      </c>
    </row>
    <row r="5" customFormat="false" ht="15" hidden="false" customHeight="false" outlineLevel="0" collapsed="false">
      <c r="A5" s="5" t="s">
        <v>51</v>
      </c>
      <c r="B5" s="5" t="s">
        <v>52</v>
      </c>
      <c r="C5" s="6"/>
      <c r="D5" s="22" t="str">
        <f aca="false">IF(OR(Ratings!F5="N/A",Ratings!G5="N/A"),"No",IF(AND(Ratings!F5="",Ratings!G5=""),"","Yes"))</f>
        <v/>
      </c>
      <c r="E5" s="22" t="str">
        <f aca="false">IF(Ratings!F5="","",Ratings!F5)</f>
        <v/>
      </c>
      <c r="F5" s="22" t="str">
        <f aca="false">IF(Ratings!G5="","",Ratings!G5)</f>
        <v/>
      </c>
      <c r="G5" s="6"/>
    </row>
    <row r="6" customFormat="false" ht="15" hidden="false" customHeight="false" outlineLevel="0" collapsed="false">
      <c r="A6" s="5" t="s">
        <v>54</v>
      </c>
      <c r="B6" s="5" t="s">
        <v>55</v>
      </c>
      <c r="C6" s="6"/>
      <c r="D6" s="22" t="str">
        <f aca="false">IF(OR(Ratings!F6="N/A",Ratings!G6="N/A"),"No",IF(AND(Ratings!F6="",Ratings!G6=""),"","Yes"))</f>
        <v/>
      </c>
      <c r="E6" s="22" t="str">
        <f aca="false">IF(Ratings!F6="","",Ratings!F6)</f>
        <v/>
      </c>
      <c r="F6" s="22" t="str">
        <f aca="false">IF(Ratings!G6="","",Ratings!G6)</f>
        <v/>
      </c>
      <c r="G6" s="6"/>
    </row>
    <row r="7" customFormat="false" ht="15" hidden="false" customHeight="false" outlineLevel="0" collapsed="false">
      <c r="A7" s="5" t="s">
        <v>20</v>
      </c>
      <c r="B7" s="5" t="s">
        <v>57</v>
      </c>
      <c r="C7" s="6"/>
      <c r="D7" s="22" t="str">
        <f aca="false">IF(OR(Ratings!F7="N/A",Ratings!G7="N/A"),"No",IF(AND(Ratings!F7="",Ratings!G7=""),"","Yes"))</f>
        <v/>
      </c>
      <c r="E7" s="22" t="str">
        <f aca="false">IF(Ratings!F7="","",Ratings!F7)</f>
        <v/>
      </c>
      <c r="F7" s="22" t="str">
        <f aca="false">IF(Ratings!G7="","",Ratings!G7)</f>
        <v/>
      </c>
      <c r="G7" s="6"/>
    </row>
    <row r="8" customFormat="false" ht="15" hidden="false" customHeight="false" outlineLevel="0" collapsed="false">
      <c r="A8" s="5" t="s">
        <v>59</v>
      </c>
      <c r="B8" s="5" t="s">
        <v>60</v>
      </c>
      <c r="C8" s="6"/>
      <c r="D8" s="22" t="str">
        <f aca="false">IF(OR(Ratings!F8="N/A",Ratings!G8="N/A"),"No",IF(AND(Ratings!F8="",Ratings!G8=""),"","Yes"))</f>
        <v/>
      </c>
      <c r="E8" s="22" t="str">
        <f aca="false">IF(Ratings!F8="","",Ratings!F8)</f>
        <v/>
      </c>
      <c r="F8" s="22" t="str">
        <f aca="false">IF(Ratings!G8="","",Ratings!G8)</f>
        <v/>
      </c>
      <c r="G8" s="6"/>
    </row>
    <row r="9" customFormat="false" ht="15" hidden="false" customHeight="false" outlineLevel="0" collapsed="false">
      <c r="A9" s="5" t="s">
        <v>64</v>
      </c>
      <c r="B9" s="5" t="s">
        <v>65</v>
      </c>
      <c r="C9" s="6"/>
      <c r="D9" s="22" t="str">
        <f aca="false">IF(OR(Ratings!F9="N/A",Ratings!G9="N/A"),"No",IF(AND(Ratings!F9="",Ratings!G9=""),"","Yes"))</f>
        <v/>
      </c>
      <c r="E9" s="22" t="str">
        <f aca="false">IF(Ratings!F9="","",Ratings!F9)</f>
        <v/>
      </c>
      <c r="F9" s="22" t="str">
        <f aca="false">IF(Ratings!G9="","",Ratings!G9)</f>
        <v/>
      </c>
      <c r="G9" s="6"/>
    </row>
    <row r="10" customFormat="false" ht="15" hidden="false" customHeight="false" outlineLevel="0" collapsed="false">
      <c r="A10" s="5" t="s">
        <v>67</v>
      </c>
      <c r="B10" s="5" t="s">
        <v>68</v>
      </c>
      <c r="C10" s="6"/>
      <c r="D10" s="22" t="str">
        <f aca="false">IF(OR(Ratings!F10="N/A",Ratings!G10="N/A"),"No",IF(AND(Ratings!F10="",Ratings!G10=""),"","Yes"))</f>
        <v/>
      </c>
      <c r="E10" s="22" t="str">
        <f aca="false">IF(Ratings!F10="","",Ratings!F10)</f>
        <v/>
      </c>
      <c r="F10" s="22" t="str">
        <f aca="false">IF(Ratings!G10="","",Ratings!G10)</f>
        <v/>
      </c>
      <c r="G10" s="6"/>
    </row>
    <row r="11" customFormat="false" ht="15" hidden="false" customHeight="false" outlineLevel="0" collapsed="false">
      <c r="A11" s="5" t="s">
        <v>70</v>
      </c>
      <c r="B11" s="5" t="s">
        <v>71</v>
      </c>
      <c r="C11" s="6"/>
      <c r="D11" s="22" t="str">
        <f aca="false">IF(OR(Ratings!F11="N/A",Ratings!G11="N/A"),"No",IF(AND(Ratings!F11="",Ratings!G11=""),"","Yes"))</f>
        <v/>
      </c>
      <c r="E11" s="22" t="str">
        <f aca="false">IF(Ratings!F11="","",Ratings!F11)</f>
        <v/>
      </c>
      <c r="F11" s="22" t="str">
        <f aca="false">IF(Ratings!G11="","",Ratings!G11)</f>
        <v/>
      </c>
      <c r="G11" s="6"/>
    </row>
    <row r="12" customFormat="false" ht="15" hidden="false" customHeight="false" outlineLevel="0" collapsed="false">
      <c r="A12" s="5" t="s">
        <v>73</v>
      </c>
      <c r="B12" s="5" t="s">
        <v>74</v>
      </c>
      <c r="C12" s="6"/>
      <c r="D12" s="22" t="str">
        <f aca="false">IF(OR(Ratings!F12="N/A",Ratings!G12="N/A"),"No",IF(AND(Ratings!F12="",Ratings!G12=""),"","Yes"))</f>
        <v/>
      </c>
      <c r="E12" s="22" t="str">
        <f aca="false">IF(Ratings!F12="","",Ratings!F12)</f>
        <v/>
      </c>
      <c r="F12" s="22" t="str">
        <f aca="false">IF(Ratings!G12="","",Ratings!G12)</f>
        <v/>
      </c>
      <c r="G12" s="6"/>
    </row>
    <row r="13" customFormat="false" ht="15" hidden="false" customHeight="false" outlineLevel="0" collapsed="false">
      <c r="A13" s="5" t="s">
        <v>76</v>
      </c>
      <c r="B13" s="5" t="s">
        <v>77</v>
      </c>
      <c r="C13" s="6"/>
      <c r="D13" s="22" t="str">
        <f aca="false">IF(OR(Ratings!F13="N/A",Ratings!G13="N/A"),"No",IF(AND(Ratings!F13="",Ratings!G13=""),"","Yes"))</f>
        <v/>
      </c>
      <c r="E13" s="22" t="str">
        <f aca="false">IF(Ratings!F13="","",Ratings!F13)</f>
        <v/>
      </c>
      <c r="F13" s="22" t="str">
        <f aca="false">IF(Ratings!G13="","",Ratings!G13)</f>
        <v/>
      </c>
      <c r="G13" s="6"/>
    </row>
    <row r="14" customFormat="false" ht="15" hidden="false" customHeight="false" outlineLevel="0" collapsed="false">
      <c r="A14" s="5" t="s">
        <v>79</v>
      </c>
      <c r="B14" s="5" t="s">
        <v>80</v>
      </c>
      <c r="C14" s="6"/>
      <c r="D14" s="22" t="str">
        <f aca="false">IF(OR(Ratings!F14="N/A",Ratings!G14="N/A"),"No",IF(AND(Ratings!F14="",Ratings!G14=""),"","Yes"))</f>
        <v/>
      </c>
      <c r="E14" s="22" t="str">
        <f aca="false">IF(Ratings!F14="","",Ratings!F14)</f>
        <v/>
      </c>
      <c r="F14" s="22" t="str">
        <f aca="false">IF(Ratings!G14="","",Ratings!G14)</f>
        <v/>
      </c>
      <c r="G14" s="6"/>
    </row>
    <row r="15" customFormat="false" ht="15" hidden="false" customHeight="false" outlineLevel="0" collapsed="false">
      <c r="A15" s="5" t="s">
        <v>84</v>
      </c>
      <c r="B15" s="5" t="s">
        <v>85</v>
      </c>
      <c r="C15" s="6"/>
      <c r="D15" s="22" t="str">
        <f aca="false">IF(OR(Ratings!F15="N/A",Ratings!G15="N/A"),"No",IF(AND(Ratings!F15="",Ratings!G15=""),"","Yes"))</f>
        <v/>
      </c>
      <c r="E15" s="22" t="str">
        <f aca="false">IF(Ratings!F15="","",Ratings!F15)</f>
        <v/>
      </c>
      <c r="F15" s="22" t="str">
        <f aca="false">IF(Ratings!G15="","",Ratings!G15)</f>
        <v/>
      </c>
      <c r="G15" s="6"/>
    </row>
    <row r="16" customFormat="false" ht="15" hidden="false" customHeight="false" outlineLevel="0" collapsed="false">
      <c r="A16" s="5" t="s">
        <v>87</v>
      </c>
      <c r="B16" s="5" t="s">
        <v>88</v>
      </c>
      <c r="C16" s="6"/>
      <c r="D16" s="22" t="str">
        <f aca="false">IF(OR(Ratings!F16="N/A",Ratings!G16="N/A"),"No",IF(AND(Ratings!F16="",Ratings!G16=""),"","Yes"))</f>
        <v/>
      </c>
      <c r="E16" s="22" t="str">
        <f aca="false">IF(Ratings!F16="","",Ratings!F16)</f>
        <v/>
      </c>
      <c r="F16" s="22" t="str">
        <f aca="false">IF(Ratings!G16="","",Ratings!G16)</f>
        <v/>
      </c>
      <c r="G16" s="6"/>
    </row>
    <row r="17" customFormat="false" ht="15" hidden="false" customHeight="false" outlineLevel="0" collapsed="false">
      <c r="A17" s="5" t="s">
        <v>90</v>
      </c>
      <c r="B17" s="5" t="s">
        <v>91</v>
      </c>
      <c r="C17" s="6"/>
      <c r="D17" s="22" t="str">
        <f aca="false">IF(OR(Ratings!F17="N/A",Ratings!G17="N/A"),"No",IF(AND(Ratings!F17="",Ratings!G17=""),"","Yes"))</f>
        <v/>
      </c>
      <c r="E17" s="22" t="str">
        <f aca="false">IF(Ratings!F17="","",Ratings!F17)</f>
        <v/>
      </c>
      <c r="F17" s="22" t="str">
        <f aca="false">IF(Ratings!G17="","",Ratings!G17)</f>
        <v/>
      </c>
      <c r="G17" s="6"/>
    </row>
    <row r="18" customFormat="false" ht="15" hidden="false" customHeight="false" outlineLevel="0" collapsed="false">
      <c r="A18" s="5" t="s">
        <v>93</v>
      </c>
      <c r="B18" s="5" t="s">
        <v>94</v>
      </c>
      <c r="C18" s="6"/>
      <c r="D18" s="22" t="str">
        <f aca="false">IF(OR(Ratings!F18="N/A",Ratings!G18="N/A"),"No",IF(AND(Ratings!F18="",Ratings!G18=""),"","Yes"))</f>
        <v/>
      </c>
      <c r="E18" s="22" t="str">
        <f aca="false">IF(Ratings!F18="","",Ratings!F18)</f>
        <v/>
      </c>
      <c r="F18" s="22" t="str">
        <f aca="false">IF(Ratings!G18="","",Ratings!G18)</f>
        <v/>
      </c>
      <c r="G18" s="6"/>
    </row>
    <row r="19" customFormat="false" ht="15" hidden="false" customHeight="false" outlineLevel="0" collapsed="false">
      <c r="A19" s="5" t="s">
        <v>96</v>
      </c>
      <c r="B19" s="5" t="s">
        <v>97</v>
      </c>
      <c r="C19" s="6"/>
      <c r="D19" s="22" t="str">
        <f aca="false">IF(OR(Ratings!F19="N/A",Ratings!G19="N/A"),"No",IF(AND(Ratings!F19="",Ratings!G19=""),"","Yes"))</f>
        <v/>
      </c>
      <c r="E19" s="22" t="str">
        <f aca="false">IF(Ratings!F19="","",Ratings!F19)</f>
        <v/>
      </c>
      <c r="F19" s="22" t="str">
        <f aca="false">IF(Ratings!G19="","",Ratings!G19)</f>
        <v/>
      </c>
      <c r="G19" s="6"/>
    </row>
    <row r="20" customFormat="false" ht="15" hidden="false" customHeight="false" outlineLevel="0" collapsed="false">
      <c r="A20" s="5" t="s">
        <v>99</v>
      </c>
      <c r="B20" s="5" t="s">
        <v>100</v>
      </c>
      <c r="C20" s="6"/>
      <c r="D20" s="22" t="str">
        <f aca="false">IF(OR(Ratings!F20="N/A",Ratings!G20="N/A"),"No",IF(AND(Ratings!F20="",Ratings!G20=""),"","Yes"))</f>
        <v/>
      </c>
      <c r="E20" s="22" t="str">
        <f aca="false">IF(Ratings!F20="","",Ratings!F20)</f>
        <v/>
      </c>
      <c r="F20" s="22" t="str">
        <f aca="false">IF(Ratings!G20="","",Ratings!G20)</f>
        <v/>
      </c>
      <c r="G20" s="6"/>
    </row>
    <row r="21" customFormat="false" ht="15" hidden="false" customHeight="false" outlineLevel="0" collapsed="false">
      <c r="A21" s="5" t="s">
        <v>104</v>
      </c>
      <c r="B21" s="5" t="s">
        <v>105</v>
      </c>
      <c r="C21" s="6"/>
      <c r="D21" s="22" t="str">
        <f aca="false">IF(OR(Ratings!F21="N/A",Ratings!G21="N/A"),"No",IF(AND(Ratings!F21="",Ratings!G21=""),"","Yes"))</f>
        <v/>
      </c>
      <c r="E21" s="22" t="str">
        <f aca="false">IF(Ratings!F21="","",Ratings!F21)</f>
        <v/>
      </c>
      <c r="F21" s="22" t="str">
        <f aca="false">IF(Ratings!G21="","",Ratings!G21)</f>
        <v/>
      </c>
      <c r="G21" s="6"/>
    </row>
    <row r="22" customFormat="false" ht="15" hidden="false" customHeight="false" outlineLevel="0" collapsed="false">
      <c r="A22" s="5" t="s">
        <v>107</v>
      </c>
      <c r="B22" s="5" t="s">
        <v>108</v>
      </c>
      <c r="C22" s="6"/>
      <c r="D22" s="22" t="str">
        <f aca="false">IF(OR(Ratings!F22="N/A",Ratings!G22="N/A"),"No",IF(AND(Ratings!F22="",Ratings!G22=""),"","Yes"))</f>
        <v/>
      </c>
      <c r="E22" s="22" t="str">
        <f aca="false">IF(Ratings!F22="","",Ratings!F22)</f>
        <v/>
      </c>
      <c r="F22" s="22" t="str">
        <f aca="false">IF(Ratings!G22="","",Ratings!G22)</f>
        <v/>
      </c>
      <c r="G22" s="6"/>
    </row>
    <row r="23" customFormat="false" ht="15" hidden="false" customHeight="false" outlineLevel="0" collapsed="false">
      <c r="A23" s="5" t="s">
        <v>110</v>
      </c>
      <c r="B23" s="5" t="s">
        <v>111</v>
      </c>
      <c r="C23" s="6"/>
      <c r="D23" s="22" t="str">
        <f aca="false">IF(OR(Ratings!F23="N/A",Ratings!G23="N/A"),"No",IF(AND(Ratings!F23="",Ratings!G23=""),"","Yes"))</f>
        <v/>
      </c>
      <c r="E23" s="22" t="str">
        <f aca="false">IF(Ratings!F23="","",Ratings!F23)</f>
        <v/>
      </c>
      <c r="F23" s="22" t="str">
        <f aca="false">IF(Ratings!G23="","",Ratings!G23)</f>
        <v/>
      </c>
      <c r="G23" s="6"/>
    </row>
    <row r="24" customFormat="false" ht="15" hidden="false" customHeight="false" outlineLevel="0" collapsed="false">
      <c r="A24" s="5" t="s">
        <v>113</v>
      </c>
      <c r="B24" s="5" t="s">
        <v>114</v>
      </c>
      <c r="C24" s="6"/>
      <c r="D24" s="22" t="str">
        <f aca="false">IF(OR(Ratings!F24="N/A",Ratings!G24="N/A"),"No",IF(AND(Ratings!F24="",Ratings!G24=""),"","Yes"))</f>
        <v/>
      </c>
      <c r="E24" s="22" t="str">
        <f aca="false">IF(Ratings!F24="","",Ratings!F24)</f>
        <v/>
      </c>
      <c r="F24" s="22" t="str">
        <f aca="false">IF(Ratings!G24="","",Ratings!G24)</f>
        <v/>
      </c>
      <c r="G24" s="6"/>
    </row>
    <row r="25" customFormat="false" ht="15" hidden="false" customHeight="false" outlineLevel="0" collapsed="false">
      <c r="A25" s="5" t="s">
        <v>116</v>
      </c>
      <c r="B25" s="5" t="s">
        <v>117</v>
      </c>
      <c r="C25" s="6"/>
      <c r="D25" s="22" t="str">
        <f aca="false">IF(OR(Ratings!F25="N/A",Ratings!G25="N/A"),"No",IF(AND(Ratings!F25="",Ratings!G25=""),"","Yes"))</f>
        <v/>
      </c>
      <c r="E25" s="22" t="str">
        <f aca="false">IF(Ratings!F25="","",Ratings!F25)</f>
        <v/>
      </c>
      <c r="F25" s="22" t="str">
        <f aca="false">IF(Ratings!G25="","",Ratings!G25)</f>
        <v/>
      </c>
      <c r="G25" s="6"/>
    </row>
    <row r="26" customFormat="false" ht="15" hidden="false" customHeight="false" outlineLevel="0" collapsed="false">
      <c r="A26" s="5" t="s">
        <v>119</v>
      </c>
      <c r="B26" s="5" t="s">
        <v>120</v>
      </c>
      <c r="C26" s="6"/>
      <c r="D26" s="22" t="str">
        <f aca="false">IF(OR(Ratings!F26="N/A",Ratings!G26="N/A"),"No",IF(AND(Ratings!F26="",Ratings!G26=""),"","Yes"))</f>
        <v/>
      </c>
      <c r="E26" s="22" t="str">
        <f aca="false">IF(Ratings!F26="","",Ratings!F26)</f>
        <v/>
      </c>
      <c r="F26" s="22" t="str">
        <f aca="false">IF(Ratings!G26="","",Ratings!G26)</f>
        <v/>
      </c>
      <c r="G26" s="6"/>
    </row>
    <row r="27" customFormat="false" ht="15" hidden="false" customHeight="false" outlineLevel="0" collapsed="false">
      <c r="A27" s="5" t="s">
        <v>124</v>
      </c>
      <c r="B27" s="5" t="s">
        <v>125</v>
      </c>
      <c r="C27" s="6"/>
      <c r="D27" s="22" t="str">
        <f aca="false">IF(OR(Ratings!F27="N/A",Ratings!G27="N/A"),"No",IF(AND(Ratings!F27="",Ratings!G27=""),"","Yes"))</f>
        <v/>
      </c>
      <c r="E27" s="22" t="str">
        <f aca="false">IF(Ratings!F27="","",Ratings!F27)</f>
        <v/>
      </c>
      <c r="F27" s="22" t="str">
        <f aca="false">IF(Ratings!G27="","",Ratings!G27)</f>
        <v/>
      </c>
      <c r="G27" s="6"/>
    </row>
    <row r="28" customFormat="false" ht="15" hidden="false" customHeight="false" outlineLevel="0" collapsed="false">
      <c r="A28" s="5" t="s">
        <v>127</v>
      </c>
      <c r="B28" s="5" t="s">
        <v>128</v>
      </c>
      <c r="C28" s="6"/>
      <c r="D28" s="22" t="str">
        <f aca="false">IF(OR(Ratings!F28="N/A",Ratings!G28="N/A"),"No",IF(AND(Ratings!F28="",Ratings!G28=""),"","Yes"))</f>
        <v/>
      </c>
      <c r="E28" s="22" t="str">
        <f aca="false">IF(Ratings!F28="","",Ratings!F28)</f>
        <v/>
      </c>
      <c r="F28" s="22" t="str">
        <f aca="false">IF(Ratings!G28="","",Ratings!G28)</f>
        <v/>
      </c>
      <c r="G28" s="6"/>
    </row>
    <row r="29" customFormat="false" ht="15" hidden="false" customHeight="false" outlineLevel="0" collapsed="false">
      <c r="A29" s="5" t="s">
        <v>130</v>
      </c>
      <c r="B29" s="5" t="s">
        <v>131</v>
      </c>
      <c r="C29" s="6"/>
      <c r="D29" s="22" t="str">
        <f aca="false">IF(OR(Ratings!F29="N/A",Ratings!G29="N/A"),"No",IF(AND(Ratings!F29="",Ratings!G29=""),"","Yes"))</f>
        <v/>
      </c>
      <c r="E29" s="22" t="str">
        <f aca="false">IF(Ratings!F29="","",Ratings!F29)</f>
        <v/>
      </c>
      <c r="F29" s="22" t="str">
        <f aca="false">IF(Ratings!G29="","",Ratings!G29)</f>
        <v/>
      </c>
      <c r="G29" s="6"/>
    </row>
    <row r="30" customFormat="false" ht="15" hidden="false" customHeight="false" outlineLevel="0" collapsed="false">
      <c r="A30" s="5" t="s">
        <v>133</v>
      </c>
      <c r="B30" s="5" t="s">
        <v>134</v>
      </c>
      <c r="C30" s="6"/>
      <c r="D30" s="22" t="str">
        <f aca="false">IF(OR(Ratings!F30="N/A",Ratings!G30="N/A"),"No",IF(AND(Ratings!F30="",Ratings!G30=""),"","Yes"))</f>
        <v/>
      </c>
      <c r="E30" s="22" t="str">
        <f aca="false">IF(Ratings!F30="","",Ratings!F30)</f>
        <v/>
      </c>
      <c r="F30" s="22" t="str">
        <f aca="false">IF(Ratings!G30="","",Ratings!G30)</f>
        <v/>
      </c>
      <c r="G30" s="6"/>
    </row>
    <row r="31" customFormat="false" ht="15" hidden="false" customHeight="false" outlineLevel="0" collapsed="false">
      <c r="A31" s="5" t="s">
        <v>138</v>
      </c>
      <c r="B31" s="5" t="s">
        <v>139</v>
      </c>
      <c r="C31" s="6"/>
      <c r="D31" s="22" t="str">
        <f aca="false">IF(OR(Ratings!F31="N/A",Ratings!G31="N/A"),"No",IF(AND(Ratings!F31="",Ratings!G31=""),"","Yes"))</f>
        <v/>
      </c>
      <c r="E31" s="22" t="str">
        <f aca="false">IF(Ratings!F31="","",Ratings!F31)</f>
        <v/>
      </c>
      <c r="F31" s="22" t="str">
        <f aca="false">IF(Ratings!G31="","",Ratings!G31)</f>
        <v/>
      </c>
      <c r="G31" s="6"/>
    </row>
    <row r="32" customFormat="false" ht="15" hidden="false" customHeight="false" outlineLevel="0" collapsed="false">
      <c r="A32" s="5" t="s">
        <v>141</v>
      </c>
      <c r="B32" s="5" t="s">
        <v>142</v>
      </c>
      <c r="C32" s="6"/>
      <c r="D32" s="22" t="str">
        <f aca="false">IF(OR(Ratings!F32="N/A",Ratings!G32="N/A"),"No",IF(AND(Ratings!F32="",Ratings!G32=""),"","Yes"))</f>
        <v/>
      </c>
      <c r="E32" s="22" t="str">
        <f aca="false">IF(Ratings!F32="","",Ratings!F32)</f>
        <v/>
      </c>
      <c r="F32" s="22" t="str">
        <f aca="false">IF(Ratings!G32="","",Ratings!G32)</f>
        <v/>
      </c>
      <c r="G32" s="6"/>
    </row>
    <row r="33" customFormat="false" ht="15" hidden="false" customHeight="false" outlineLevel="0" collapsed="false">
      <c r="A33" s="5" t="s">
        <v>144</v>
      </c>
      <c r="B33" s="5" t="s">
        <v>145</v>
      </c>
      <c r="C33" s="6"/>
      <c r="D33" s="22" t="str">
        <f aca="false">IF(OR(Ratings!F33="N/A",Ratings!G33="N/A"),"No",IF(AND(Ratings!F33="",Ratings!G33=""),"","Yes"))</f>
        <v/>
      </c>
      <c r="E33" s="22" t="str">
        <f aca="false">IF(Ratings!F33="","",Ratings!F33)</f>
        <v/>
      </c>
      <c r="F33" s="22" t="str">
        <f aca="false">IF(Ratings!G33="","",Ratings!G33)</f>
        <v/>
      </c>
      <c r="G33" s="6"/>
    </row>
    <row r="34" customFormat="false" ht="15" hidden="false" customHeight="false" outlineLevel="0" collapsed="false">
      <c r="A34" s="5" t="s">
        <v>147</v>
      </c>
      <c r="B34" s="5" t="s">
        <v>148</v>
      </c>
      <c r="C34" s="6"/>
      <c r="D34" s="22" t="str">
        <f aca="false">IF(OR(Ratings!F34="N/A",Ratings!G34="N/A"),"No",IF(AND(Ratings!F34="",Ratings!G34=""),"","Yes"))</f>
        <v/>
      </c>
      <c r="E34" s="22" t="str">
        <f aca="false">IF(Ratings!F34="","",Ratings!F34)</f>
        <v/>
      </c>
      <c r="F34" s="22" t="str">
        <f aca="false">IF(Ratings!G34="","",Ratings!G34)</f>
        <v/>
      </c>
      <c r="G34" s="6"/>
    </row>
    <row r="35" customFormat="false" ht="15" hidden="false" customHeight="false" outlineLevel="0" collapsed="false">
      <c r="A35" s="5" t="s">
        <v>152</v>
      </c>
      <c r="B35" s="5" t="s">
        <v>153</v>
      </c>
      <c r="C35" s="6"/>
      <c r="D35" s="22" t="str">
        <f aca="false">IF(OR(Ratings!F35="N/A",Ratings!G35="N/A"),"No",IF(AND(Ratings!F35="",Ratings!G35=""),"","Yes"))</f>
        <v/>
      </c>
      <c r="E35" s="22" t="str">
        <f aca="false">IF(Ratings!F35="","",Ratings!F35)</f>
        <v/>
      </c>
      <c r="F35" s="22" t="str">
        <f aca="false">IF(Ratings!G35="","",Ratings!G35)</f>
        <v/>
      </c>
      <c r="G35" s="6"/>
    </row>
    <row r="36" customFormat="false" ht="15" hidden="false" customHeight="false" outlineLevel="0" collapsed="false">
      <c r="A36" s="5" t="s">
        <v>155</v>
      </c>
      <c r="B36" s="5" t="s">
        <v>156</v>
      </c>
      <c r="C36" s="6"/>
      <c r="D36" s="22" t="str">
        <f aca="false">IF(OR(Ratings!F36="N/A",Ratings!G36="N/A"),"No",IF(AND(Ratings!F36="",Ratings!G36=""),"","Yes"))</f>
        <v/>
      </c>
      <c r="E36" s="22" t="str">
        <f aca="false">IF(Ratings!F36="","",Ratings!F36)</f>
        <v/>
      </c>
      <c r="F36" s="22" t="str">
        <f aca="false">IF(Ratings!G36="","",Ratings!G36)</f>
        <v/>
      </c>
      <c r="G36" s="6"/>
    </row>
    <row r="37" customFormat="false" ht="15" hidden="false" customHeight="false" outlineLevel="0" collapsed="false">
      <c r="A37" s="5" t="s">
        <v>158</v>
      </c>
      <c r="B37" s="5" t="s">
        <v>159</v>
      </c>
      <c r="C37" s="6"/>
      <c r="D37" s="22" t="str">
        <f aca="false">IF(OR(Ratings!F37="N/A",Ratings!G37="N/A"),"No",IF(AND(Ratings!F37="",Ratings!G37=""),"","Yes"))</f>
        <v/>
      </c>
      <c r="E37" s="22" t="str">
        <f aca="false">IF(Ratings!F37="","",Ratings!F37)</f>
        <v/>
      </c>
      <c r="F37" s="22" t="str">
        <f aca="false">IF(Ratings!G37="","",Ratings!G37)</f>
        <v/>
      </c>
      <c r="G37" s="6"/>
    </row>
    <row r="38" customFormat="false" ht="15" hidden="false" customHeight="false" outlineLevel="0" collapsed="false">
      <c r="A38" s="5" t="s">
        <v>161</v>
      </c>
      <c r="B38" s="5" t="s">
        <v>162</v>
      </c>
      <c r="C38" s="6"/>
      <c r="D38" s="22" t="str">
        <f aca="false">IF(OR(Ratings!F38="N/A",Ratings!G38="N/A"),"No",IF(AND(Ratings!F38="",Ratings!G38=""),"","Yes"))</f>
        <v/>
      </c>
      <c r="E38" s="22" t="str">
        <f aca="false">IF(Ratings!F38="","",Ratings!F38)</f>
        <v/>
      </c>
      <c r="F38" s="22" t="str">
        <f aca="false">IF(Ratings!G38="","",Ratings!G38)</f>
        <v/>
      </c>
      <c r="G38" s="6"/>
    </row>
    <row r="41" customFormat="false" ht="15" hidden="false" customHeight="false" outlineLevel="0" collapsed="false">
      <c r="A41" s="19" t="s">
        <v>194</v>
      </c>
    </row>
    <row r="42" customFormat="false" ht="15" hidden="false" customHeight="false" outlineLevel="0" collapsed="false">
      <c r="A42" s="7"/>
      <c r="B42" s="7" t="s">
        <v>195</v>
      </c>
      <c r="C42" s="7" t="s">
        <v>196</v>
      </c>
      <c r="D42" s="7" t="s">
        <v>197</v>
      </c>
      <c r="E42" s="7"/>
      <c r="F42" s="7"/>
      <c r="G42" s="7"/>
    </row>
    <row r="43" customFormat="false" ht="23.85" hidden="false" customHeight="false" outlineLevel="0" collapsed="false">
      <c r="B43" s="8" t="s">
        <v>198</v>
      </c>
      <c r="C43" s="8" t="str">
        <f aca="false" t="array" ref="C43:C43">_xlfn.TEXTJOIN(", ",TRUE(),IF((Ratings!$I$5:$I$38="Green")*(Ratings!$G$5:$G$38&gt;=1),Ratings!$C$5:$C$38,""))</f>
        <v/>
      </c>
      <c r="D43" s="5" t="n">
        <f aca="false">SUMPRODUCT(--((Ratings!$I$5:$I$38="Green")*(Ratings!$G$5:$G$38&gt;=1)))</f>
        <v>0</v>
      </c>
    </row>
    <row r="44" customFormat="false" ht="23.85" hidden="false" customHeight="false" outlineLevel="0" collapsed="false">
      <c r="B44" s="8" t="s">
        <v>199</v>
      </c>
      <c r="C44" s="8" t="str">
        <f aca="false" t="array" ref="C44:C44">_xlfn.TEXTJOIN(", ",TRUE(),IF((Ratings!$I$5:$I$38&lt;&gt;"Green")*(Ratings!$I$5:$I$38&lt;&gt;"")*(Ratings!$G$5:$G$38&gt;=1),Ratings!$C$5:$C$38,""))</f>
        <v/>
      </c>
      <c r="D44" s="5" t="n">
        <f aca="false">SUMPRODUCT(--((Ratings!$I$5:$I$38&lt;&gt;"Green")*(Ratings!$I$5:$I$38&lt;&gt;"")*(Ratings!$G$5:$G$38&gt;=1)))</f>
        <v>0</v>
      </c>
    </row>
    <row r="45" customFormat="false" ht="23.85" hidden="false" customHeight="false" outlineLevel="0" collapsed="false">
      <c r="B45" s="8" t="s">
        <v>200</v>
      </c>
      <c r="C45" s="8" t="str">
        <f aca="false" t="array" ref="C45:C45">_xlfn.TEXTJOIN(", ",TRUE(),IF((Ratings!$G$5:$G$38=0)*ISNUMBER(Ratings!$G$5:$G$38)*ISNUMBER(Ratings!$F$5:$F$38)*(Ratings!$F$5:$F$38&gt;=1),Ratings!$C$5:$C$38,""))</f>
        <v/>
      </c>
      <c r="D45" s="5" t="n">
        <f aca="false">SUMPRODUCT(--((Ratings!$G$5:$G$38=0)*ISNUMBER(Ratings!$G$5:$G$38)*ISNUMBER(Ratings!$F$5:$F$38)*(Ratings!$F$5:$F$38&gt;=1)))</f>
        <v>0</v>
      </c>
    </row>
    <row r="46" customFormat="false" ht="23.85" hidden="false" customHeight="false" outlineLevel="0" collapsed="false">
      <c r="B46" s="8" t="s">
        <v>201</v>
      </c>
      <c r="C46" s="8" t="str">
        <f aca="false" t="array" ref="C46:C46">_xlfn.TEXTJOIN(", ",TRUE(),IF((Ratings!$F$5:$F$38="N/A")+(Ratings!$G$5:$G$38="N/A")&gt;0,Ratings!$C$5:$C$38,""))</f>
        <v/>
      </c>
      <c r="D46" s="5" t="n">
        <f aca="false">SUMPRODUCT(--((Ratings!$F$5:$F$38="N/A")+(Ratings!$G$5:$G$38="N/A")&gt;0))</f>
        <v>0</v>
      </c>
    </row>
    <row r="49" customFormat="false" ht="15" hidden="false" customHeight="false" outlineLevel="0" collapsed="false">
      <c r="A49" s="19" t="s">
        <v>202</v>
      </c>
    </row>
    <row r="50" customFormat="false" ht="15" hidden="false" customHeight="false" outlineLevel="0" collapsed="false">
      <c r="A50" s="7"/>
      <c r="B50" s="7" t="s">
        <v>203</v>
      </c>
      <c r="C50" s="7" t="s">
        <v>204</v>
      </c>
      <c r="D50" s="7" t="s">
        <v>205</v>
      </c>
      <c r="E50" s="7"/>
      <c r="F50" s="7"/>
      <c r="G50" s="7"/>
    </row>
    <row r="51" customFormat="false" ht="15" hidden="false" customHeight="false" outlineLevel="0" collapsed="false">
      <c r="B51" s="8" t="s">
        <v>206</v>
      </c>
      <c r="C51" s="8" t="str">
        <f aca="false">IF(D51="","",INDEX(Maturity!$B$5:$E$5,MATCH(D51,Maturity!$B$4:$E$4,0)))</f>
        <v/>
      </c>
      <c r="D51" s="6"/>
    </row>
    <row r="52" customFormat="false" ht="15" hidden="false" customHeight="false" outlineLevel="0" collapsed="false">
      <c r="B52" s="8" t="s">
        <v>207</v>
      </c>
      <c r="C52" s="8" t="str">
        <f aca="false">IF(D52="","",INDEX(Maturity!$B$6:$E$6,MATCH(D52,Maturity!$B$4:$E$4,0)))</f>
        <v/>
      </c>
      <c r="D52" s="6"/>
    </row>
    <row r="53" customFormat="false" ht="15" hidden="false" customHeight="false" outlineLevel="0" collapsed="false">
      <c r="B53" s="8" t="s">
        <v>208</v>
      </c>
      <c r="C53" s="8" t="str">
        <f aca="false">IF(D53="","",INDEX(Maturity!$B$7:$E$7,MATCH(D53,Maturity!$B$4:$E$4,0)))</f>
        <v/>
      </c>
      <c r="D53" s="6"/>
    </row>
    <row r="54" customFormat="false" ht="15" hidden="false" customHeight="false" outlineLevel="0" collapsed="false">
      <c r="B54" s="8" t="s">
        <v>209</v>
      </c>
      <c r="C54" s="8" t="str">
        <f aca="false">IF(D54="","",INDEX(Maturity!$B$8:$E$8,MATCH(D54,Maturity!$B$4:$E$4,0)))</f>
        <v/>
      </c>
      <c r="D54" s="6"/>
    </row>
    <row r="55" customFormat="false" ht="15" hidden="false" customHeight="false" outlineLevel="0" collapsed="false">
      <c r="B55" s="8" t="s">
        <v>210</v>
      </c>
      <c r="C55" s="8" t="str">
        <f aca="false">IF(D55="","",INDEX(Maturity!$B$9:$E$9,MATCH(D55,Maturity!$B$4:$E$4,0)))</f>
        <v/>
      </c>
      <c r="D55" s="6"/>
    </row>
    <row r="56" customFormat="false" ht="15" hidden="false" customHeight="false" outlineLevel="0" collapsed="false">
      <c r="B56" s="8" t="s">
        <v>211</v>
      </c>
      <c r="C56" s="8" t="str">
        <f aca="false">IF(D56="","",INDEX(Maturity!$B$10:$E$10,MATCH(D56,Maturity!$B$4:$E$4,0)))</f>
        <v/>
      </c>
      <c r="D56" s="6"/>
    </row>
    <row r="57" customFormat="false" ht="15" hidden="false" customHeight="false" outlineLevel="0" collapsed="false">
      <c r="B57" s="8" t="s">
        <v>212</v>
      </c>
      <c r="C57" s="8" t="str">
        <f aca="false">IF(D57="","",INDEX(Maturity!$B$11:$E$11,MATCH(D57,Maturity!$B$4:$E$4,0)))</f>
        <v/>
      </c>
      <c r="D57" s="6"/>
    </row>
    <row r="58" customFormat="false" ht="15" hidden="false" customHeight="false" outlineLevel="0" collapsed="false">
      <c r="B58" s="8" t="s">
        <v>213</v>
      </c>
      <c r="C58" s="8" t="str">
        <f aca="false">IF(D58="","",INDEX(Maturity!$B$12:$E$12,MATCH(D58,Maturity!$B$4:$E$4,0)))</f>
        <v/>
      </c>
      <c r="D58" s="6"/>
    </row>
    <row r="59" customFormat="false" ht="23.85" hidden="false" customHeight="false" outlineLevel="0" collapsed="false">
      <c r="B59" s="8" t="s">
        <v>214</v>
      </c>
      <c r="C59" s="8" t="str">
        <f aca="false">IF(D59="","",INDEX(Maturity!$B$13:$E$13,MATCH(D59,Maturity!$B$4:$E$4,0)))</f>
        <v/>
      </c>
      <c r="D59" s="6"/>
    </row>
  </sheetData>
  <sheetProtection sheet="true" formatColumns="false" formatRows="false"/>
  <dataValidations count="1">
    <dataValidation allowBlank="false" errorStyle="stop" operator="between" showDropDown="false" showErrorMessage="false" showInputMessage="false" sqref="D51:D59" type="list">
      <formula1>Lists!$D$1:$D$4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34"/>
  </cols>
  <sheetData>
    <row r="1" customFormat="false" ht="16.15" hidden="false" customHeight="false" outlineLevel="0" collapsed="false">
      <c r="A1" s="1" t="s">
        <v>215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203</v>
      </c>
      <c r="B4" s="7" t="s">
        <v>216</v>
      </c>
      <c r="C4" s="7" t="s">
        <v>217</v>
      </c>
      <c r="D4" s="7" t="s">
        <v>218</v>
      </c>
      <c r="E4" s="7" t="s">
        <v>219</v>
      </c>
    </row>
    <row r="5" customFormat="false" ht="23.85" hidden="false" customHeight="false" outlineLevel="0" collapsed="false">
      <c r="A5" s="23" t="s">
        <v>206</v>
      </c>
      <c r="B5" s="4" t="s">
        <v>220</v>
      </c>
      <c r="C5" s="4" t="s">
        <v>221</v>
      </c>
      <c r="D5" s="4" t="s">
        <v>222</v>
      </c>
      <c r="E5" s="4" t="s">
        <v>223</v>
      </c>
    </row>
    <row r="6" customFormat="false" ht="23.85" hidden="false" customHeight="false" outlineLevel="0" collapsed="false">
      <c r="A6" s="23" t="s">
        <v>207</v>
      </c>
      <c r="B6" s="4" t="s">
        <v>224</v>
      </c>
      <c r="C6" s="4" t="s">
        <v>225</v>
      </c>
      <c r="D6" s="4" t="s">
        <v>226</v>
      </c>
      <c r="E6" s="4" t="s">
        <v>227</v>
      </c>
    </row>
    <row r="7" customFormat="false" ht="23.85" hidden="false" customHeight="false" outlineLevel="0" collapsed="false">
      <c r="A7" s="23" t="s">
        <v>208</v>
      </c>
      <c r="B7" s="4" t="s">
        <v>228</v>
      </c>
      <c r="C7" s="4" t="s">
        <v>229</v>
      </c>
      <c r="D7" s="4" t="s">
        <v>230</v>
      </c>
      <c r="E7" s="4" t="s">
        <v>231</v>
      </c>
    </row>
    <row r="8" customFormat="false" ht="23.85" hidden="false" customHeight="false" outlineLevel="0" collapsed="false">
      <c r="A8" s="23" t="s">
        <v>209</v>
      </c>
      <c r="B8" s="4" t="s">
        <v>232</v>
      </c>
      <c r="C8" s="4" t="s">
        <v>233</v>
      </c>
      <c r="D8" s="4" t="s">
        <v>234</v>
      </c>
      <c r="E8" s="4" t="s">
        <v>235</v>
      </c>
    </row>
    <row r="9" customFormat="false" ht="23.85" hidden="false" customHeight="false" outlineLevel="0" collapsed="false">
      <c r="A9" s="23" t="s">
        <v>210</v>
      </c>
      <c r="B9" s="4" t="s">
        <v>236</v>
      </c>
      <c r="C9" s="4" t="s">
        <v>237</v>
      </c>
      <c r="D9" s="4" t="s">
        <v>238</v>
      </c>
      <c r="E9" s="4" t="s">
        <v>239</v>
      </c>
    </row>
    <row r="10" customFormat="false" ht="23.85" hidden="false" customHeight="false" outlineLevel="0" collapsed="false">
      <c r="A10" s="23" t="s">
        <v>211</v>
      </c>
      <c r="B10" s="4" t="s">
        <v>240</v>
      </c>
      <c r="C10" s="4" t="s">
        <v>241</v>
      </c>
      <c r="D10" s="4" t="s">
        <v>242</v>
      </c>
      <c r="E10" s="4" t="s">
        <v>243</v>
      </c>
    </row>
    <row r="11" customFormat="false" ht="23.85" hidden="false" customHeight="false" outlineLevel="0" collapsed="false">
      <c r="A11" s="23" t="s">
        <v>212</v>
      </c>
      <c r="B11" s="4" t="s">
        <v>244</v>
      </c>
      <c r="C11" s="4" t="s">
        <v>245</v>
      </c>
      <c r="D11" s="4" t="s">
        <v>246</v>
      </c>
      <c r="E11" s="4" t="s">
        <v>247</v>
      </c>
    </row>
    <row r="12" customFormat="false" ht="23.85" hidden="false" customHeight="false" outlineLevel="0" collapsed="false">
      <c r="A12" s="23" t="s">
        <v>213</v>
      </c>
      <c r="B12" s="4" t="s">
        <v>248</v>
      </c>
      <c r="C12" s="4" t="s">
        <v>249</v>
      </c>
      <c r="D12" s="4" t="s">
        <v>250</v>
      </c>
      <c r="E12" s="4" t="s">
        <v>251</v>
      </c>
    </row>
    <row r="13" customFormat="false" ht="23.85" hidden="false" customHeight="false" outlineLevel="0" collapsed="false">
      <c r="A13" s="23" t="s">
        <v>214</v>
      </c>
      <c r="B13" s="4" t="s">
        <v>252</v>
      </c>
      <c r="C13" s="4" t="s">
        <v>253</v>
      </c>
      <c r="D13" s="4" t="s">
        <v>254</v>
      </c>
      <c r="E13" s="4" t="s">
        <v>255</v>
      </c>
    </row>
    <row r="15" customFormat="false" ht="15" hidden="false" customHeight="false" outlineLevel="0" collapsed="false">
      <c r="A15" s="2" t="s">
        <v>256</v>
      </c>
    </row>
  </sheetData>
  <sheetProtection sheet="tru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90"/>
  </cols>
  <sheetData>
    <row r="1" customFormat="false" ht="16.15" hidden="false" customHeight="false" outlineLevel="0" collapsed="false">
      <c r="A1" s="1" t="s">
        <v>257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7" t="s">
        <v>258</v>
      </c>
      <c r="B4" s="7" t="s">
        <v>259</v>
      </c>
      <c r="C4" s="7" t="s">
        <v>260</v>
      </c>
    </row>
    <row r="5" customFormat="false" ht="15" hidden="false" customHeight="false" outlineLevel="0" collapsed="false">
      <c r="A5" s="19" t="s">
        <v>42</v>
      </c>
    </row>
    <row r="6" customFormat="false" ht="15" hidden="false" customHeight="false" outlineLevel="0" collapsed="false">
      <c r="A6" s="4" t="s">
        <v>261</v>
      </c>
      <c r="B6" s="4" t="s">
        <v>262</v>
      </c>
      <c r="C6" s="4" t="s">
        <v>263</v>
      </c>
    </row>
    <row r="7" customFormat="false" ht="15" hidden="false" customHeight="false" outlineLevel="0" collapsed="false">
      <c r="A7" s="4" t="n">
        <v>0</v>
      </c>
      <c r="B7" s="4" t="s">
        <v>264</v>
      </c>
      <c r="C7" s="4" t="s">
        <v>265</v>
      </c>
    </row>
    <row r="8" customFormat="false" ht="15" hidden="false" customHeight="false" outlineLevel="0" collapsed="false">
      <c r="A8" s="4" t="n">
        <v>1</v>
      </c>
      <c r="B8" s="4" t="s">
        <v>266</v>
      </c>
      <c r="C8" s="4" t="s">
        <v>267</v>
      </c>
    </row>
    <row r="9" customFormat="false" ht="15" hidden="false" customHeight="false" outlineLevel="0" collapsed="false">
      <c r="A9" s="4" t="n">
        <v>2</v>
      </c>
      <c r="B9" s="4" t="s">
        <v>268</v>
      </c>
      <c r="C9" s="4" t="s">
        <v>269</v>
      </c>
    </row>
    <row r="10" customFormat="false" ht="15" hidden="false" customHeight="false" outlineLevel="0" collapsed="false">
      <c r="A10" s="4" t="n">
        <v>3</v>
      </c>
      <c r="B10" s="4" t="s">
        <v>270</v>
      </c>
      <c r="C10" s="4" t="s">
        <v>271</v>
      </c>
    </row>
    <row r="11" customFormat="false" ht="15" hidden="false" customHeight="false" outlineLevel="0" collapsed="false">
      <c r="A11" s="19" t="s">
        <v>43</v>
      </c>
    </row>
    <row r="12" customFormat="false" ht="15" hidden="false" customHeight="false" outlineLevel="0" collapsed="false">
      <c r="A12" s="4" t="s">
        <v>261</v>
      </c>
      <c r="B12" s="4" t="s">
        <v>262</v>
      </c>
      <c r="C12" s="4" t="s">
        <v>263</v>
      </c>
    </row>
    <row r="13" customFormat="false" ht="15" hidden="false" customHeight="false" outlineLevel="0" collapsed="false">
      <c r="A13" s="4" t="n">
        <v>0</v>
      </c>
      <c r="B13" s="4" t="s">
        <v>272</v>
      </c>
      <c r="C13" s="4" t="s">
        <v>273</v>
      </c>
    </row>
    <row r="14" customFormat="false" ht="15" hidden="false" customHeight="false" outlineLevel="0" collapsed="false">
      <c r="A14" s="4" t="n">
        <v>1</v>
      </c>
      <c r="B14" s="4" t="s">
        <v>274</v>
      </c>
      <c r="C14" s="4" t="s">
        <v>275</v>
      </c>
    </row>
    <row r="15" customFormat="false" ht="15" hidden="false" customHeight="false" outlineLevel="0" collapsed="false">
      <c r="A15" s="4" t="n">
        <v>2</v>
      </c>
      <c r="B15" s="4" t="s">
        <v>276</v>
      </c>
      <c r="C15" s="4" t="s">
        <v>277</v>
      </c>
    </row>
    <row r="16" customFormat="false" ht="15" hidden="false" customHeight="false" outlineLevel="0" collapsed="false">
      <c r="A16" s="4" t="n">
        <v>3</v>
      </c>
      <c r="B16" s="4" t="s">
        <v>218</v>
      </c>
      <c r="C16" s="4" t="s">
        <v>278</v>
      </c>
    </row>
  </sheetData>
  <sheetProtection sheet="tru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261</v>
      </c>
      <c r="B1" s="0" t="s">
        <v>51</v>
      </c>
      <c r="C1" s="0" t="s">
        <v>279</v>
      </c>
      <c r="D1" s="0" t="s">
        <v>216</v>
      </c>
      <c r="E1" s="0" t="s">
        <v>280</v>
      </c>
    </row>
    <row r="2" customFormat="false" ht="15" hidden="false" customHeight="false" outlineLevel="0" collapsed="false">
      <c r="A2" s="0" t="n">
        <v>0</v>
      </c>
      <c r="B2" s="0" t="s">
        <v>54</v>
      </c>
      <c r="C2" s="0" t="s">
        <v>281</v>
      </c>
      <c r="D2" s="0" t="s">
        <v>217</v>
      </c>
      <c r="E2" s="0" t="s">
        <v>282</v>
      </c>
    </row>
    <row r="3" customFormat="false" ht="15" hidden="false" customHeight="false" outlineLevel="0" collapsed="false">
      <c r="A3" s="0" t="n">
        <v>1</v>
      </c>
      <c r="B3" s="0" t="s">
        <v>20</v>
      </c>
      <c r="C3" s="0" t="s">
        <v>283</v>
      </c>
      <c r="D3" s="0" t="s">
        <v>218</v>
      </c>
      <c r="E3" s="0" t="s">
        <v>284</v>
      </c>
    </row>
    <row r="4" customFormat="false" ht="15" hidden="false" customHeight="false" outlineLevel="0" collapsed="false">
      <c r="A4" s="0" t="n">
        <v>2</v>
      </c>
      <c r="C4" s="0" t="s">
        <v>285</v>
      </c>
      <c r="D4" s="0" t="s">
        <v>219</v>
      </c>
    </row>
    <row r="5" customFormat="false" ht="15" hidden="false" customHeight="false" outlineLevel="0" collapsed="false">
      <c r="A5" s="0" t="n">
        <v>3</v>
      </c>
      <c r="C5" s="0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2026-10-22T20:27:49Z</dcterms:created>
  <dc:creator>Symposion</dc:creator>
  <dc:description/>
  <dc:language>en-US</dc:language>
  <cp:lastModifiedBy>Symposion</cp:lastModifiedBy>
  <dcterms:modified xsi:type="dcterms:W3CDTF">2026-10-22T20:27:49Z</dcterms:modified>
  <cp:revision>0</cp:revision>
  <dc:subject/>
  <dc:title>PM-NEAT scoring workbook (pilot version 0.2)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